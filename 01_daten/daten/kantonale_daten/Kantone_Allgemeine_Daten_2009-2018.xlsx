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Daten" sheetId="1" state="visible" r:id="rId1"/>
    <sheet name="Anmerkungen" sheetId="2" state="visible" r:id="rId2"/>
    <sheet name="Aktuelle Datenlage" sheetId="3" state="visible" r:id="rId3"/>
  </sheets>
  <definedNames>
    <definedName name="_xlnm._FilterDatabase" localSheetId="0" hidden="1">Daten!$A$1:$L$272</definedName>
    <definedName name="_xlnm._FilterDatabase" localSheetId="2" hidden="1">'Aktuelle Datenlage'!$A$1:$F$28</definedName>
  </definedNames>
  <calcPr/>
</workbook>
</file>

<file path=xl/sharedStrings.xml><?xml version="1.0" encoding="utf-8"?>
<sst xmlns="http://schemas.openxmlformats.org/spreadsheetml/2006/main" count="336" uniqueCount="336">
  <si>
    <t>Kanton-Nr.</t>
  </si>
  <si>
    <t>Kanton</t>
  </si>
  <si>
    <t>Jahr</t>
  </si>
  <si>
    <r>
      <t>BIP</t>
    </r>
    <r>
      <rPr>
        <vertAlign val="superscript"/>
        <sz val="11"/>
        <color theme="1"/>
        <rFont val="Calibri"/>
        <scheme val="minor"/>
      </rPr>
      <t>1</t>
    </r>
  </si>
  <si>
    <r>
      <t>Einwohner</t>
    </r>
    <r>
      <rPr>
        <vertAlign val="superscript"/>
        <sz val="11"/>
        <color theme="1"/>
        <rFont val="Calibri"/>
        <scheme val="minor"/>
      </rPr>
      <t>2</t>
    </r>
  </si>
  <si>
    <r>
      <t xml:space="preserve">Anzahl Gemeinden</t>
    </r>
    <r>
      <rPr>
        <vertAlign val="superscript"/>
        <sz val="11"/>
        <color theme="1"/>
        <rFont val="Calibri"/>
        <scheme val="minor"/>
      </rPr>
      <t>3</t>
    </r>
  </si>
  <si>
    <r>
      <t>AL-Quote</t>
    </r>
    <r>
      <rPr>
        <vertAlign val="superscript"/>
        <sz val="11"/>
        <color theme="1"/>
        <rFont val="Calibri"/>
        <scheme val="minor"/>
      </rPr>
      <t>4</t>
    </r>
  </si>
  <si>
    <r>
      <t>Sozialhilfe-quote</t>
    </r>
    <r>
      <rPr>
        <vertAlign val="superscript"/>
        <sz val="11"/>
        <color theme="1"/>
        <rFont val="Calibri"/>
        <scheme val="minor"/>
      </rPr>
      <t>5</t>
    </r>
  </si>
  <si>
    <r>
      <t>Exporte</t>
    </r>
    <r>
      <rPr>
        <vertAlign val="superscript"/>
        <sz val="11"/>
        <color theme="1"/>
        <rFont val="Calibri"/>
        <scheme val="minor"/>
      </rPr>
      <t>6</t>
    </r>
  </si>
  <si>
    <r>
      <t>Importe</t>
    </r>
    <r>
      <rPr>
        <vertAlign val="superscript"/>
        <sz val="11"/>
        <color theme="1"/>
        <rFont val="Calibri"/>
        <scheme val="minor"/>
      </rPr>
      <t>6</t>
    </r>
  </si>
  <si>
    <t>Nettoexport</t>
  </si>
  <si>
    <t xml:space="preserve">Gemeindedaten verfügbar</t>
  </si>
  <si>
    <t xml:space="preserve">in Mio. CHF zu laufenden Preisen</t>
  </si>
  <si>
    <t xml:space="preserve">Stand am 1. Januar</t>
  </si>
  <si>
    <t xml:space="preserve">Stand am 01. Januar</t>
  </si>
  <si>
    <t xml:space="preserve">Jahresdurch- schnitt, in %</t>
  </si>
  <si>
    <t xml:space="preserve">im engeren Sinn</t>
  </si>
  <si>
    <t xml:space="preserve">in Mio. CHF</t>
  </si>
  <si>
    <t xml:space="preserve">1 = gut,         0 = schlecht</t>
  </si>
  <si>
    <t>Zürich</t>
  </si>
  <si>
    <t xml:space="preserve">1 504 346</t>
  </si>
  <si>
    <t xml:space="preserve">1 487 969</t>
  </si>
  <si>
    <t xml:space="preserve">1 466 424</t>
  </si>
  <si>
    <t xml:space="preserve">1 446 354</t>
  </si>
  <si>
    <t xml:space="preserve">1 425 538</t>
  </si>
  <si>
    <t xml:space="preserve">1 408 575</t>
  </si>
  <si>
    <t xml:space="preserve">1 392 396</t>
  </si>
  <si>
    <t xml:space="preserve">1 373 068</t>
  </si>
  <si>
    <t xml:space="preserve">1 351 297</t>
  </si>
  <si>
    <t xml:space="preserve">1 332 727</t>
  </si>
  <si>
    <t>Bern</t>
  </si>
  <si>
    <t xml:space="preserve">1 031 126</t>
  </si>
  <si>
    <t xml:space="preserve">1 026 513</t>
  </si>
  <si>
    <t xml:space="preserve">1 017 483</t>
  </si>
  <si>
    <t xml:space="preserve">1 009 418</t>
  </si>
  <si>
    <t xml:space="preserve">1 001 281</t>
  </si>
  <si>
    <t xml:space="preserve"> 992 617</t>
  </si>
  <si>
    <t xml:space="preserve"> 985 046</t>
  </si>
  <si>
    <t xml:space="preserve"> 979 802</t>
  </si>
  <si>
    <t xml:space="preserve"> 974 235</t>
  </si>
  <si>
    <t xml:space="preserve"> 969 299</t>
  </si>
  <si>
    <t>Luzern</t>
  </si>
  <si>
    <t xml:space="preserve"> 406 506</t>
  </si>
  <si>
    <t xml:space="preserve"> 403 397</t>
  </si>
  <si>
    <t xml:space="preserve"> 398 762</t>
  </si>
  <si>
    <t xml:space="preserve"> 394 604</t>
  </si>
  <si>
    <t xml:space="preserve"> 390 349</t>
  </si>
  <si>
    <t xml:space="preserve"> 386 082</t>
  </si>
  <si>
    <t xml:space="preserve"> 381 966</t>
  </si>
  <si>
    <t xml:space="preserve"> 377 610</t>
  </si>
  <si>
    <t xml:space="preserve"> 372 964</t>
  </si>
  <si>
    <t xml:space="preserve"> 368 742</t>
  </si>
  <si>
    <t>Uri</t>
  </si>
  <si>
    <t xml:space="preserve"> 36 299</t>
  </si>
  <si>
    <t xml:space="preserve"> 36 145</t>
  </si>
  <si>
    <t xml:space="preserve"> 35 973</t>
  </si>
  <si>
    <t xml:space="preserve"> 36 008</t>
  </si>
  <si>
    <t xml:space="preserve"> 35 865</t>
  </si>
  <si>
    <t xml:space="preserve"> 35 693</t>
  </si>
  <si>
    <t xml:space="preserve"> 35 382</t>
  </si>
  <si>
    <t xml:space="preserve"> 35 422</t>
  </si>
  <si>
    <t xml:space="preserve"> 35 335</t>
  </si>
  <si>
    <t xml:space="preserve"> 35 162</t>
  </si>
  <si>
    <t>Schwyz</t>
  </si>
  <si>
    <t xml:space="preserve"> 157 301</t>
  </si>
  <si>
    <t xml:space="preserve"> 155 863</t>
  </si>
  <si>
    <t xml:space="preserve"> 154 093</t>
  </si>
  <si>
    <t xml:space="preserve"> 152 759</t>
  </si>
  <si>
    <t xml:space="preserve"> 151 396</t>
  </si>
  <si>
    <t xml:space="preserve"> 149 830</t>
  </si>
  <si>
    <t xml:space="preserve"> 147 904</t>
  </si>
  <si>
    <t xml:space="preserve"> 146 730</t>
  </si>
  <si>
    <t xml:space="preserve"> 144 686</t>
  </si>
  <si>
    <t xml:space="preserve"> 143 719</t>
  </si>
  <si>
    <t>Obwalden</t>
  </si>
  <si>
    <t xml:space="preserve"> 37 575</t>
  </si>
  <si>
    <t xml:space="preserve"> 37 378</t>
  </si>
  <si>
    <t xml:space="preserve"> 37 076</t>
  </si>
  <si>
    <t xml:space="preserve"> 36 834</t>
  </si>
  <si>
    <t xml:space="preserve"> 36 507</t>
  </si>
  <si>
    <t xml:space="preserve"> 36 115</t>
  </si>
  <si>
    <t xml:space="preserve"> 35 885</t>
  </si>
  <si>
    <t xml:space="preserve"> 35 585</t>
  </si>
  <si>
    <t xml:space="preserve"> 35 032</t>
  </si>
  <si>
    <t xml:space="preserve"> 34 429</t>
  </si>
  <si>
    <t>Nidwalden</t>
  </si>
  <si>
    <t xml:space="preserve"> 42 969</t>
  </si>
  <si>
    <t xml:space="preserve"> 42 556</t>
  </si>
  <si>
    <t xml:space="preserve"> 42 420</t>
  </si>
  <si>
    <t xml:space="preserve"> 42 080</t>
  </si>
  <si>
    <t xml:space="preserve"> 41 888</t>
  </si>
  <si>
    <t xml:space="preserve"> 41 584</t>
  </si>
  <si>
    <t xml:space="preserve"> 41 311</t>
  </si>
  <si>
    <t xml:space="preserve"> 41 024</t>
  </si>
  <si>
    <t xml:space="preserve"> 40 794</t>
  </si>
  <si>
    <t xml:space="preserve"> 40 737</t>
  </si>
  <si>
    <t>Glarus</t>
  </si>
  <si>
    <t xml:space="preserve"> 40 349</t>
  </si>
  <si>
    <t xml:space="preserve"> 40 147</t>
  </si>
  <si>
    <t xml:space="preserve"> 40 028</t>
  </si>
  <si>
    <t xml:space="preserve"> 39 794</t>
  </si>
  <si>
    <t xml:space="preserve"> 39 593</t>
  </si>
  <si>
    <t xml:space="preserve"> 39 369</t>
  </si>
  <si>
    <t xml:space="preserve"> 39 217</t>
  </si>
  <si>
    <t xml:space="preserve"> 38 608</t>
  </si>
  <si>
    <t xml:space="preserve"> 38 479</t>
  </si>
  <si>
    <t xml:space="preserve"> 38 370</t>
  </si>
  <si>
    <t>Zug</t>
  </si>
  <si>
    <t xml:space="preserve"> 125 421</t>
  </si>
  <si>
    <t xml:space="preserve"> 123 948</t>
  </si>
  <si>
    <t xml:space="preserve"> 122 134</t>
  </si>
  <si>
    <t xml:space="preserve"> 120 089</t>
  </si>
  <si>
    <t xml:space="preserve"> 118 118</t>
  </si>
  <si>
    <t xml:space="preserve"> 116 575</t>
  </si>
  <si>
    <t xml:space="preserve"> 115 104</t>
  </si>
  <si>
    <t xml:space="preserve"> 113 105</t>
  </si>
  <si>
    <t xml:space="preserve"> 110 890</t>
  </si>
  <si>
    <t xml:space="preserve"> 110 384</t>
  </si>
  <si>
    <t>Freiburg</t>
  </si>
  <si>
    <t xml:space="preserve"> 315 074</t>
  </si>
  <si>
    <t xml:space="preserve"> 311 914</t>
  </si>
  <si>
    <t xml:space="preserve"> 307 461</t>
  </si>
  <si>
    <t xml:space="preserve"> 303 377</t>
  </si>
  <si>
    <t xml:space="preserve"> 297 622</t>
  </si>
  <si>
    <t xml:space="preserve"> 291 395</t>
  </si>
  <si>
    <t xml:space="preserve"> 284 668</t>
  </si>
  <si>
    <t xml:space="preserve"> 278 493</t>
  </si>
  <si>
    <t xml:space="preserve"> 273 159</t>
  </si>
  <si>
    <t xml:space="preserve"> 268 537</t>
  </si>
  <si>
    <t>Solothurn</t>
  </si>
  <si>
    <t xml:space="preserve"> 271 432</t>
  </si>
  <si>
    <t xml:space="preserve"> 269 441</t>
  </si>
  <si>
    <t xml:space="preserve"> 266 418</t>
  </si>
  <si>
    <t xml:space="preserve"> 263 719</t>
  </si>
  <si>
    <t xml:space="preserve"> 261 437</t>
  </si>
  <si>
    <t xml:space="preserve"> 259 283</t>
  </si>
  <si>
    <t xml:space="preserve"> 256 990</t>
  </si>
  <si>
    <t xml:space="preserve"> 255 284</t>
  </si>
  <si>
    <t xml:space="preserve"> 252 748</t>
  </si>
  <si>
    <t xml:space="preserve"> 251 830</t>
  </si>
  <si>
    <t>Basel-Stadt</t>
  </si>
  <si>
    <t xml:space="preserve"> 193 908</t>
  </si>
  <si>
    <t xml:space="preserve"> 193 070</t>
  </si>
  <si>
    <t xml:space="preserve"> 191 817</t>
  </si>
  <si>
    <t xml:space="preserve"> 190 580</t>
  </si>
  <si>
    <t xml:space="preserve"> 189 335</t>
  </si>
  <si>
    <t xml:space="preserve"> 187 425</t>
  </si>
  <si>
    <t xml:space="preserve"> 186 255</t>
  </si>
  <si>
    <t xml:space="preserve"> 184 950</t>
  </si>
  <si>
    <t xml:space="preserve"> 187 898</t>
  </si>
  <si>
    <t xml:space="preserve"> 186 672</t>
  </si>
  <si>
    <t>Basel-Landschaft</t>
  </si>
  <si>
    <t xml:space="preserve"> 287 023</t>
  </si>
  <si>
    <t xml:space="preserve"> 285 624</t>
  </si>
  <si>
    <t xml:space="preserve"> 283 231</t>
  </si>
  <si>
    <t xml:space="preserve"> 281 301</t>
  </si>
  <si>
    <t xml:space="preserve"> 278 656</t>
  </si>
  <si>
    <t xml:space="preserve"> 276 537</t>
  </si>
  <si>
    <t xml:space="preserve"> 275 360</t>
  </si>
  <si>
    <t xml:space="preserve"> 274 404</t>
  </si>
  <si>
    <t xml:space="preserve"> 272 815</t>
  </si>
  <si>
    <t xml:space="preserve"> 271 214</t>
  </si>
  <si>
    <t>Schaffhausen</t>
  </si>
  <si>
    <t xml:space="preserve"> 81 351</t>
  </si>
  <si>
    <t xml:space="preserve"> 80 769</t>
  </si>
  <si>
    <t xml:space="preserve"> 79 836</t>
  </si>
  <si>
    <t xml:space="preserve"> 79 417</t>
  </si>
  <si>
    <t xml:space="preserve"> 78 783</t>
  </si>
  <si>
    <t xml:space="preserve"> 77 955</t>
  </si>
  <si>
    <t xml:space="preserve"> 77 139</t>
  </si>
  <si>
    <t xml:space="preserve"> 76 356</t>
  </si>
  <si>
    <t xml:space="preserve"> 75 657</t>
  </si>
  <si>
    <t xml:space="preserve"> 75 303</t>
  </si>
  <si>
    <t xml:space="preserve">Appenzell A.Rh. </t>
  </si>
  <si>
    <t xml:space="preserve"> 55 178</t>
  </si>
  <si>
    <t xml:space="preserve"> 54 954</t>
  </si>
  <si>
    <t xml:space="preserve"> 54 543</t>
  </si>
  <si>
    <t xml:space="preserve"> 54 064</t>
  </si>
  <si>
    <t xml:space="preserve"> 53 691</t>
  </si>
  <si>
    <t xml:space="preserve"> 53 438</t>
  </si>
  <si>
    <t xml:space="preserve"> 53 313</t>
  </si>
  <si>
    <t xml:space="preserve"> 53 017</t>
  </si>
  <si>
    <t xml:space="preserve"> 53 043</t>
  </si>
  <si>
    <t xml:space="preserve"> 53 054</t>
  </si>
  <si>
    <t xml:space="preserve">Appenzell I.Rh.</t>
  </si>
  <si>
    <t xml:space="preserve"> 16 105</t>
  </si>
  <si>
    <t xml:space="preserve"> 16 003</t>
  </si>
  <si>
    <t xml:space="preserve"> 15 974</t>
  </si>
  <si>
    <t xml:space="preserve"> 15 854</t>
  </si>
  <si>
    <t xml:space="preserve"> 15 778</t>
  </si>
  <si>
    <t xml:space="preserve"> 15 717</t>
  </si>
  <si>
    <t xml:space="preserve"> 15 743</t>
  </si>
  <si>
    <t xml:space="preserve"> 15 688</t>
  </si>
  <si>
    <t xml:space="preserve"> 15 681</t>
  </si>
  <si>
    <t xml:space="preserve"> 15 549</t>
  </si>
  <si>
    <t xml:space="preserve">St. Gallen</t>
  </si>
  <si>
    <t xml:space="preserve"> 504 686</t>
  </si>
  <si>
    <t xml:space="preserve"> 502 552</t>
  </si>
  <si>
    <t xml:space="preserve"> 499 065</t>
  </si>
  <si>
    <t xml:space="preserve"> 495 824</t>
  </si>
  <si>
    <t xml:space="preserve"> 491 699</t>
  </si>
  <si>
    <t xml:space="preserve"> 487 060</t>
  </si>
  <si>
    <t xml:space="preserve"> 483 156</t>
  </si>
  <si>
    <t xml:space="preserve"> 478 907</t>
  </si>
  <si>
    <t xml:space="preserve"> 474 676</t>
  </si>
  <si>
    <t xml:space="preserve"> 471 152</t>
  </si>
  <si>
    <t>Graubünden</t>
  </si>
  <si>
    <t xml:space="preserve"> 197 888</t>
  </si>
  <si>
    <t xml:space="preserve"> 197 550</t>
  </si>
  <si>
    <t xml:space="preserve"> 196 610</t>
  </si>
  <si>
    <t xml:space="preserve"> 195 886</t>
  </si>
  <si>
    <t xml:space="preserve"> 194 959</t>
  </si>
  <si>
    <t xml:space="preserve"> 193 920</t>
  </si>
  <si>
    <t xml:space="preserve"> 193 388</t>
  </si>
  <si>
    <t xml:space="preserve"> 192 621</t>
  </si>
  <si>
    <t xml:space="preserve"> 191 861</t>
  </si>
  <si>
    <t xml:space="preserve"> 190 459</t>
  </si>
  <si>
    <t>Aargau</t>
  </si>
  <si>
    <t xml:space="preserve"> 670 988</t>
  </si>
  <si>
    <t xml:space="preserve"> 663 462</t>
  </si>
  <si>
    <t xml:space="preserve"> 653 675</t>
  </si>
  <si>
    <t xml:space="preserve"> 645 277</t>
  </si>
  <si>
    <t xml:space="preserve"> 636 362</t>
  </si>
  <si>
    <t xml:space="preserve"> 627 340</t>
  </si>
  <si>
    <t xml:space="preserve"> 618 298</t>
  </si>
  <si>
    <t xml:space="preserve"> 611 466</t>
  </si>
  <si>
    <t xml:space="preserve"> 600 040</t>
  </si>
  <si>
    <t xml:space="preserve"> 591 632</t>
  </si>
  <si>
    <t>Thurgau</t>
  </si>
  <si>
    <t xml:space="preserve"> 273 801</t>
  </si>
  <si>
    <t xml:space="preserve"> 270 709</t>
  </si>
  <si>
    <t xml:space="preserve"> 267 429</t>
  </si>
  <si>
    <t xml:space="preserve"> 263 733</t>
  </si>
  <si>
    <t xml:space="preserve"> 260 278</t>
  </si>
  <si>
    <t xml:space="preserve"> 256 213</t>
  </si>
  <si>
    <t xml:space="preserve"> 251 973</t>
  </si>
  <si>
    <t xml:space="preserve"> 248 444</t>
  </si>
  <si>
    <t xml:space="preserve"> 244 805</t>
  </si>
  <si>
    <t xml:space="preserve"> 241 811</t>
  </si>
  <si>
    <t>Tessin</t>
  </si>
  <si>
    <t xml:space="preserve"> 353 709</t>
  </si>
  <si>
    <t xml:space="preserve"> 354 375</t>
  </si>
  <si>
    <t xml:space="preserve"> 351 946</t>
  </si>
  <si>
    <t xml:space="preserve"> 350 363</t>
  </si>
  <si>
    <t xml:space="preserve"> 346 539</t>
  </si>
  <si>
    <t xml:space="preserve"> 341 652</t>
  </si>
  <si>
    <t xml:space="preserve"> 336 943</t>
  </si>
  <si>
    <t xml:space="preserve"> 333 753</t>
  </si>
  <si>
    <t xml:space="preserve"> 335 720</t>
  </si>
  <si>
    <t xml:space="preserve"> 332 736</t>
  </si>
  <si>
    <t>Waadt</t>
  </si>
  <si>
    <t xml:space="preserve"> 793 129</t>
  </si>
  <si>
    <t xml:space="preserve"> 784 822</t>
  </si>
  <si>
    <t xml:space="preserve"> 773 407</t>
  </si>
  <si>
    <t xml:space="preserve"> 761 446</t>
  </si>
  <si>
    <t xml:space="preserve"> 749 373</t>
  </si>
  <si>
    <t xml:space="preserve"> 734 356</t>
  </si>
  <si>
    <t xml:space="preserve"> 725 944</t>
  </si>
  <si>
    <t xml:space="preserve"> 713 281</t>
  </si>
  <si>
    <t xml:space="preserve"> 701 526</t>
  </si>
  <si>
    <t xml:space="preserve"> 688 245</t>
  </si>
  <si>
    <t>Wallis</t>
  </si>
  <si>
    <t xml:space="preserve"> 341 463</t>
  </si>
  <si>
    <t xml:space="preserve"> 339 176</t>
  </si>
  <si>
    <t xml:space="preserve"> 335 696</t>
  </si>
  <si>
    <t xml:space="preserve"> 331 763</t>
  </si>
  <si>
    <t xml:space="preserve"> 327 011</t>
  </si>
  <si>
    <t xml:space="preserve"> 321 732</t>
  </si>
  <si>
    <t xml:space="preserve"> 317 022</t>
  </si>
  <si>
    <t xml:space="preserve"> 312 684</t>
  </si>
  <si>
    <t xml:space="preserve"> 307 392</t>
  </si>
  <si>
    <t xml:space="preserve"> 303 241</t>
  </si>
  <si>
    <t>Neuenburg</t>
  </si>
  <si>
    <t xml:space="preserve"> 177 964</t>
  </si>
  <si>
    <t xml:space="preserve"> 178 567</t>
  </si>
  <si>
    <t xml:space="preserve"> 178 107</t>
  </si>
  <si>
    <t xml:space="preserve"> 177 327</t>
  </si>
  <si>
    <t xml:space="preserve"> 176 402</t>
  </si>
  <si>
    <t xml:space="preserve"> 174 554</t>
  </si>
  <si>
    <t xml:space="preserve"> 173 183</t>
  </si>
  <si>
    <t xml:space="preserve"> 172 085</t>
  </si>
  <si>
    <t xml:space="preserve"> 171 647</t>
  </si>
  <si>
    <t xml:space="preserve"> 170 924</t>
  </si>
  <si>
    <t>Genf</t>
  </si>
  <si>
    <t xml:space="preserve"> 495 249</t>
  </si>
  <si>
    <t xml:space="preserve"> 489 524</t>
  </si>
  <si>
    <t xml:space="preserve"> 484 736</t>
  </si>
  <si>
    <t xml:space="preserve"> 477 385</t>
  </si>
  <si>
    <t xml:space="preserve"> 469 433</t>
  </si>
  <si>
    <t xml:space="preserve"> 463 101</t>
  </si>
  <si>
    <t xml:space="preserve"> 460 534</t>
  </si>
  <si>
    <t xml:space="preserve"> 457 715</t>
  </si>
  <si>
    <t xml:space="preserve"> 453 292</t>
  </si>
  <si>
    <t xml:space="preserve"> 446 106</t>
  </si>
  <si>
    <t>Jura</t>
  </si>
  <si>
    <t xml:space="preserve"> 73 290</t>
  </si>
  <si>
    <t xml:space="preserve"> 73 122</t>
  </si>
  <si>
    <t xml:space="preserve"> 72 782</t>
  </si>
  <si>
    <t xml:space="preserve"> 72 410</t>
  </si>
  <si>
    <t xml:space="preserve"> 71 738</t>
  </si>
  <si>
    <t xml:space="preserve"> 70 942</t>
  </si>
  <si>
    <t xml:space="preserve"> 70 542</t>
  </si>
  <si>
    <t xml:space="preserve"> 70 032</t>
  </si>
  <si>
    <t xml:space="preserve"> 70 134</t>
  </si>
  <si>
    <t xml:space="preserve"> 69 822</t>
  </si>
  <si>
    <t>Schweiz</t>
  </si>
  <si>
    <t xml:space="preserve">8 484 130</t>
  </si>
  <si>
    <t xml:space="preserve">8 419 550</t>
  </si>
  <si>
    <t xml:space="preserve">8 327 126</t>
  </si>
  <si>
    <t xml:space="preserve">8 237 666</t>
  </si>
  <si>
    <t xml:space="preserve">8 139 631</t>
  </si>
  <si>
    <t xml:space="preserve">8 039 060</t>
  </si>
  <si>
    <t xml:space="preserve">7 954 662</t>
  </si>
  <si>
    <t xml:space="preserve">7 870 134</t>
  </si>
  <si>
    <t xml:space="preserve">7 785 806</t>
  </si>
  <si>
    <t xml:space="preserve">7 701 856</t>
  </si>
  <si>
    <t>Anmerkungen:</t>
  </si>
  <si>
    <t xml:space="preserve">1 Bundesamt für Statistik, Bruttoinlandsprodukt (BIP) pro Kanton; 2017 provisorisch</t>
  </si>
  <si>
    <t xml:space="preserve">2 Bundesamt für Statistik, Bilanz der ständigen Wohnbevölkerung nach Kanton, 1991-2019</t>
  </si>
  <si>
    <t xml:space="preserve">3 Bundesamt für Statistik, Statistischer Atlas der Schweiz</t>
  </si>
  <si>
    <t xml:space="preserve">4 Staatssekretariat für Wirtschaft, Arbeitslose nach Kanton. Jahresdurchschnitt</t>
  </si>
  <si>
    <t xml:space="preserve">5 Bundesamt für Statistik, Sozialhilfequote im weiteren und im engeren Sinn, in %</t>
  </si>
  <si>
    <t xml:space="preserve">6 Eidgenössische Zollverwaltung, Aussenhandelsstatistik</t>
  </si>
  <si>
    <t>BFS-Nummer</t>
  </si>
  <si>
    <t xml:space="preserve">Jahr </t>
  </si>
  <si>
    <t>BIP</t>
  </si>
  <si>
    <t xml:space="preserve">Anteil an Schweizer BIP</t>
  </si>
  <si>
    <t xml:space="preserve">Wenige Daten verfügbar; wenn Auswahl bekannt entsprechende Daten nachfragen. </t>
  </si>
  <si>
    <t xml:space="preserve">Keine eigene Rechnung pro Gemeinde, wenn kostenpflichtig anfordern.</t>
  </si>
  <si>
    <t xml:space="preserve">Anfrage wurde an entsprechenden Ansprechpartner weitergeleitet; noch keine Antwort. </t>
  </si>
  <si>
    <t xml:space="preserve">Keine Rückmeldung. </t>
  </si>
  <si>
    <t xml:space="preserve">Daten für jeden Bezirk einzeln abrufbar. </t>
  </si>
  <si>
    <t>verfügbar</t>
  </si>
  <si>
    <t xml:space="preserve">→ 81,56 % des Schweizer BIPs decken wir mit den verfügbaren Gemeindedaten ab.</t>
  </si>
  <si>
    <t xml:space="preserve">nicht verfügbar</t>
  </si>
  <si>
    <t xml:space="preserve">→ von 18,44 % des BIPs der Schweiz haben wir keine Gemeindedaten.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</si>
</sst>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0" formatCode="_-* #,##0.00_-;\-* #,##0.00_-;_-* &quot;-&quot;??_-;_-@_-"/>
    <numFmt numFmtId="161" formatCode="0.0"/>
    <numFmt numFmtId="162" formatCode="_-* #,##0_-;\-* #,##0_-;_-* &quot;-&quot;??_-;_-@_-"/>
  </numFmts>
  <fonts count="2">
    <font>
      <name val="Calibri"/>
      <color theme="1"/>
      <sz val="11"/>
      <scheme val="minor"/>
    </font>
    <font>
      <name val="Arial"/>
      <sz val="10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fontId="0" fillId="0" borderId="0" numFmtId="0" applyNumberFormat="1" applyFont="1" applyFill="1" applyBorder="1"/>
    <xf fontId="0" fillId="0" borderId="0" numFmtId="160" applyNumberFormat="1" applyFont="0" applyFill="0" applyBorder="0"/>
    <xf fontId="1" fillId="0" borderId="0" numFmtId="0" applyNumberFormat="1" applyFont="1" applyFill="1" applyBorder="1"/>
  </cellStyleXfs>
  <cellXfs count="11">
    <xf fontId="0" fillId="0" borderId="0" numFmtId="0" xfId="0"/>
    <xf fontId="0" fillId="0" borderId="0" numFmtId="160" xfId="1" applyNumberFormat="1"/>
    <xf fontId="0" fillId="0" borderId="0" numFmtId="160" xfId="1" applyNumberFormat="1" applyAlignment="1">
      <alignment horizontal="right"/>
    </xf>
    <xf fontId="0" fillId="0" borderId="0" numFmtId="161" xfId="0" applyNumberFormat="1"/>
    <xf fontId="0" fillId="0" borderId="0" numFmtId="0" xfId="0" applyAlignment="1">
      <alignment wrapText="1"/>
    </xf>
    <xf fontId="0" fillId="0" borderId="0" numFmtId="162" xfId="1" applyNumberFormat="1"/>
    <xf fontId="0" fillId="0" borderId="0" numFmtId="2" xfId="0" applyNumberFormat="1"/>
    <xf fontId="0" fillId="2" borderId="0" numFmtId="0" xfId="0" applyFill="1"/>
    <xf fontId="0" fillId="0" borderId="0" numFmtId="0" xfId="0"/>
    <xf fontId="0" fillId="0" borderId="0" numFmtId="162" xfId="0" applyNumberFormat="1"/>
    <xf fontId="0" fillId="0" borderId="0" numFmtId="2" xfId="1" applyNumberFormat="1" applyAlignment="1">
      <alignment horizontal="right"/>
    </xf>
  </cellXfs>
  <cellStyles count="3">
    <cellStyle name="Komma" xfId="1" builtinId="3"/>
    <cellStyle name="Standard" xfId="0" builtinId="0"/>
    <cellStyle name="Standard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howOutlineSymbols="1" summaryBelow="1" summaryRight="1"/>
    <pageSetUpPr autoPageBreaks="1" fitToPage="0"/>
  </sheetPr>
  <sheetViews>
    <sheetView workbookViewId="0" zoomScale="100">
      <pane state="frozen" topLeftCell="D3" xSplit="3" ySplit="2"/>
      <selection activeCell="C32" activeCellId="0" sqref="C32"/>
    </sheetView>
  </sheetViews>
  <sheetFormatPr baseColWidth="10" defaultColWidth="11.42578125" defaultRowHeight="14.25"/>
  <cols>
    <col bestFit="1" customWidth="1" min="2" max="2" width="18.28515625"/>
    <col bestFit="1" min="4" max="4" style="1" width="11.42578125"/>
    <col bestFit="1" min="5" max="5" style="2" width="11.42578125"/>
    <col bestFit="1" customWidth="1" min="6" max="6" width="12.42578125"/>
    <col bestFit="1" min="8" max="8" style="3" width="11.42578125"/>
    <col bestFit="1" min="9" max="10" style="1" width="11.42578125"/>
    <col bestFit="1" customWidth="1" min="11" max="11" style="1" width="11.85546875"/>
  </cols>
  <sheetData>
    <row r="1" s="4" customFormat="1" ht="4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4" customFormat="1" ht="45" hidden="1" customHeight="1"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17</v>
      </c>
      <c r="K2" s="4" t="s">
        <v>17</v>
      </c>
      <c r="L2" s="4" t="s">
        <v>18</v>
      </c>
    </row>
    <row r="3" hidden="1">
      <c r="A3">
        <v>1</v>
      </c>
      <c r="B3" t="s">
        <v>19</v>
      </c>
      <c r="C3">
        <v>2018</v>
      </c>
      <c r="E3" s="2" t="s">
        <v>20</v>
      </c>
      <c r="F3" s="5">
        <v>166</v>
      </c>
      <c r="G3" s="6">
        <v>2.7000000000000002</v>
      </c>
      <c r="H3" s="6">
        <v>3.2040999999999999</v>
      </c>
      <c r="I3" s="1">
        <v>22113.4907526936</v>
      </c>
      <c r="J3" s="1">
        <v>52508.603939855697</v>
      </c>
      <c r="K3" s="1">
        <f t="shared" ref="K3:K5" si="0">I3-J3</f>
        <v>-30395.113187162096</v>
      </c>
      <c r="L3">
        <v>1</v>
      </c>
    </row>
    <row r="4" hidden="1">
      <c r="A4">
        <v>1</v>
      </c>
      <c r="B4" t="s">
        <v>19</v>
      </c>
      <c r="C4">
        <v>2017</v>
      </c>
      <c r="D4" s="1">
        <v>143044.38373999999</v>
      </c>
      <c r="E4" s="2" t="s">
        <v>21</v>
      </c>
      <c r="F4" s="5">
        <v>168</v>
      </c>
      <c r="G4" s="6">
        <v>3.54</v>
      </c>
      <c r="H4" s="6">
        <v>3.286</v>
      </c>
      <c r="I4" s="1">
        <v>22846.638404240799</v>
      </c>
      <c r="J4" s="1">
        <v>46121.643379141802</v>
      </c>
      <c r="K4" s="1">
        <f t="shared" si="0"/>
        <v>-23275.004974901003</v>
      </c>
      <c r="L4">
        <v>1</v>
      </c>
    </row>
    <row r="5" hidden="1">
      <c r="A5">
        <v>1</v>
      </c>
      <c r="B5" t="s">
        <v>19</v>
      </c>
      <c r="C5">
        <v>2016</v>
      </c>
      <c r="D5" s="1">
        <v>139231.99575999999</v>
      </c>
      <c r="E5" s="2" t="s">
        <v>22</v>
      </c>
      <c r="F5" s="5">
        <v>168</v>
      </c>
      <c r="G5" s="6">
        <v>3.6634228035</v>
      </c>
      <c r="H5" s="6">
        <v>3.2000000000000002</v>
      </c>
      <c r="I5" s="1">
        <v>24309.826633079301</v>
      </c>
      <c r="J5" s="1">
        <v>44403.149740614601</v>
      </c>
      <c r="K5" s="1">
        <f t="shared" si="0"/>
        <v>-20093.3231075353</v>
      </c>
      <c r="L5">
        <v>1</v>
      </c>
    </row>
    <row r="6" hidden="1">
      <c r="A6">
        <v>1</v>
      </c>
      <c r="B6" t="s">
        <v>19</v>
      </c>
      <c r="C6">
        <v>2015</v>
      </c>
      <c r="D6" s="1">
        <v>140057.21398999999</v>
      </c>
      <c r="E6" s="2" t="s">
        <v>23</v>
      </c>
      <c r="F6" s="5">
        <v>169</v>
      </c>
      <c r="G6" s="6">
        <v>3.5418688967</v>
      </c>
      <c r="H6" s="6">
        <v>3.2000000000000002</v>
      </c>
      <c r="L6">
        <v>1</v>
      </c>
    </row>
    <row r="7" hidden="1">
      <c r="A7">
        <v>1</v>
      </c>
      <c r="B7" t="s">
        <v>19</v>
      </c>
      <c r="C7">
        <v>2014</v>
      </c>
      <c r="D7" s="1">
        <v>139178.97550999999</v>
      </c>
      <c r="E7" s="2" t="s">
        <v>24</v>
      </c>
      <c r="F7" s="5">
        <v>170</v>
      </c>
      <c r="G7" s="6">
        <v>3.2922683043999998</v>
      </c>
      <c r="H7" s="6">
        <v>3.1896</v>
      </c>
      <c r="L7">
        <v>1</v>
      </c>
    </row>
    <row r="8" hidden="1">
      <c r="A8">
        <v>1</v>
      </c>
      <c r="B8" t="s">
        <v>19</v>
      </c>
      <c r="C8">
        <v>2013</v>
      </c>
      <c r="D8" s="1">
        <v>136996.44037999999</v>
      </c>
      <c r="E8" s="2" t="s">
        <v>25</v>
      </c>
      <c r="F8" s="5">
        <v>171</v>
      </c>
      <c r="G8" s="6">
        <v>3.1972310850999999</v>
      </c>
      <c r="H8" s="6">
        <v>3.1826500000000002</v>
      </c>
      <c r="L8">
        <v>1</v>
      </c>
    </row>
    <row r="9" hidden="1">
      <c r="A9">
        <v>1</v>
      </c>
      <c r="B9" t="s">
        <v>19</v>
      </c>
      <c r="C9">
        <v>2012</v>
      </c>
      <c r="D9" s="1">
        <v>134962.96311000001</v>
      </c>
      <c r="E9" s="2" t="s">
        <v>26</v>
      </c>
      <c r="F9" s="5">
        <v>171</v>
      </c>
      <c r="G9" s="6">
        <v>2.9700000000000002</v>
      </c>
      <c r="H9" s="6">
        <v>3.1711</v>
      </c>
      <c r="L9">
        <v>1</v>
      </c>
    </row>
    <row r="10" hidden="1">
      <c r="A10">
        <v>1</v>
      </c>
      <c r="B10" t="s">
        <v>19</v>
      </c>
      <c r="C10">
        <v>2011</v>
      </c>
      <c r="D10" s="1">
        <v>133064.84581999999</v>
      </c>
      <c r="E10" s="2" t="s">
        <v>27</v>
      </c>
      <c r="F10" s="5">
        <v>171</v>
      </c>
      <c r="G10" s="6">
        <v>2.8503467999107324</v>
      </c>
      <c r="H10" s="6">
        <v>3.2000000000000002</v>
      </c>
      <c r="L10">
        <v>1</v>
      </c>
    </row>
    <row r="11" hidden="1">
      <c r="A11">
        <v>1</v>
      </c>
      <c r="B11" t="s">
        <v>19</v>
      </c>
      <c r="C11">
        <v>2010</v>
      </c>
      <c r="D11" s="1">
        <v>130100.59226999999</v>
      </c>
      <c r="E11" s="2" t="s">
        <v>28</v>
      </c>
      <c r="F11" s="5">
        <v>171</v>
      </c>
      <c r="G11" s="6">
        <v>3.5725073585030636</v>
      </c>
      <c r="H11" s="6">
        <v>3.2000000000000002</v>
      </c>
      <c r="L11">
        <v>1</v>
      </c>
    </row>
    <row r="12">
      <c r="A12">
        <v>1</v>
      </c>
      <c r="B12" t="s">
        <v>19</v>
      </c>
      <c r="C12">
        <v>2009</v>
      </c>
      <c r="D12" s="1">
        <v>128598.48877</v>
      </c>
      <c r="E12" s="2" t="s">
        <v>29</v>
      </c>
      <c r="F12" s="5">
        <v>171</v>
      </c>
      <c r="G12" s="6">
        <v>3.7073560214853067</v>
      </c>
      <c r="H12" s="6">
        <v>3.2999999999999998</v>
      </c>
      <c r="L12">
        <v>1</v>
      </c>
    </row>
    <row r="13" hidden="1">
      <c r="A13">
        <v>2</v>
      </c>
      <c r="B13" t="s">
        <v>30</v>
      </c>
      <c r="C13">
        <v>2018</v>
      </c>
      <c r="E13" s="2" t="s">
        <v>31</v>
      </c>
      <c r="F13" s="5">
        <v>347</v>
      </c>
      <c r="G13" s="6">
        <v>1.8999999999999999</v>
      </c>
      <c r="H13" s="6">
        <v>4.0157999999999996</v>
      </c>
      <c r="I13" s="1">
        <v>16615.653723235599</v>
      </c>
      <c r="J13" s="1">
        <v>13365.153716621599</v>
      </c>
      <c r="K13" s="1">
        <f t="shared" ref="K13:K76" si="1">I13-J13</f>
        <v>3250.5000066140001</v>
      </c>
      <c r="L13">
        <v>1</v>
      </c>
    </row>
    <row r="14" hidden="1">
      <c r="A14">
        <v>2</v>
      </c>
      <c r="B14" t="s">
        <v>30</v>
      </c>
      <c r="C14">
        <v>2017</v>
      </c>
      <c r="D14" s="1">
        <v>78277.652979999999</v>
      </c>
      <c r="E14" s="2" t="s">
        <v>32</v>
      </c>
      <c r="F14" s="5">
        <v>351</v>
      </c>
      <c r="G14" s="6">
        <v>2.5899999999999999</v>
      </c>
      <c r="H14" s="6">
        <v>4.1600000000000001</v>
      </c>
      <c r="I14" s="1">
        <v>14656.6136344352</v>
      </c>
      <c r="J14" s="1">
        <v>12229.3284709989</v>
      </c>
      <c r="K14" s="1">
        <f t="shared" si="1"/>
        <v>2427.2851634362996</v>
      </c>
      <c r="L14">
        <v>1</v>
      </c>
    </row>
    <row r="15" hidden="1">
      <c r="A15">
        <v>2</v>
      </c>
      <c r="B15" t="s">
        <v>30</v>
      </c>
      <c r="C15">
        <v>2016</v>
      </c>
      <c r="D15" s="1">
        <v>77893.48504</v>
      </c>
      <c r="E15" s="2" t="s">
        <v>33</v>
      </c>
      <c r="F15" s="5">
        <v>352</v>
      </c>
      <c r="G15" s="6">
        <v>2.7181408958</v>
      </c>
      <c r="H15" s="6">
        <v>4.2000000000000002</v>
      </c>
      <c r="I15" s="1">
        <v>13924.741519891701</v>
      </c>
      <c r="J15" s="1">
        <v>11463.0680159065</v>
      </c>
      <c r="K15" s="1">
        <f t="shared" si="1"/>
        <v>2461.673503985201</v>
      </c>
      <c r="L15">
        <v>1</v>
      </c>
    </row>
    <row r="16" hidden="1">
      <c r="A16">
        <v>2</v>
      </c>
      <c r="B16" t="s">
        <v>30</v>
      </c>
      <c r="C16">
        <v>2015</v>
      </c>
      <c r="D16" s="1">
        <v>77856.835359999997</v>
      </c>
      <c r="E16" s="2" t="s">
        <v>34</v>
      </c>
      <c r="F16" s="5">
        <v>356</v>
      </c>
      <c r="G16" s="6">
        <v>2.5881352954999999</v>
      </c>
      <c r="H16" s="6">
        <v>4.2000000000000002</v>
      </c>
      <c r="L16">
        <v>1</v>
      </c>
    </row>
    <row r="17" hidden="1">
      <c r="A17">
        <v>2</v>
      </c>
      <c r="B17" t="s">
        <v>30</v>
      </c>
      <c r="C17">
        <v>2014</v>
      </c>
      <c r="D17" s="1">
        <v>77484.099560000002</v>
      </c>
      <c r="E17" s="2" t="s">
        <v>35</v>
      </c>
      <c r="F17" s="5">
        <v>362</v>
      </c>
      <c r="G17" s="6">
        <v>2.4181617707999998</v>
      </c>
      <c r="H17" s="6">
        <v>4.2705299999999999</v>
      </c>
      <c r="L17">
        <v>1</v>
      </c>
    </row>
    <row r="18" hidden="1">
      <c r="A18">
        <v>2</v>
      </c>
      <c r="B18" t="s">
        <v>30</v>
      </c>
      <c r="C18">
        <v>2013</v>
      </c>
      <c r="D18" s="1">
        <v>75958.673569999999</v>
      </c>
      <c r="E18" s="2" t="s">
        <v>36</v>
      </c>
      <c r="F18" s="5">
        <v>379</v>
      </c>
      <c r="G18" s="6">
        <v>2.3331066000999998</v>
      </c>
      <c r="H18" s="6">
        <v>4.2418800000000001</v>
      </c>
      <c r="L18">
        <v>1</v>
      </c>
    </row>
    <row r="19" hidden="1">
      <c r="A19">
        <v>2</v>
      </c>
      <c r="B19" t="s">
        <v>30</v>
      </c>
      <c r="C19">
        <v>2012</v>
      </c>
      <c r="D19" s="1">
        <v>74749.245540000004</v>
      </c>
      <c r="E19" s="2" t="s">
        <v>37</v>
      </c>
      <c r="F19" s="5">
        <v>382</v>
      </c>
      <c r="G19" s="6">
        <v>2.0099999999999998</v>
      </c>
      <c r="H19" s="6">
        <v>4.22133</v>
      </c>
      <c r="L19">
        <v>1</v>
      </c>
    </row>
    <row r="20" hidden="1">
      <c r="A20">
        <v>2</v>
      </c>
      <c r="B20" t="s">
        <v>30</v>
      </c>
      <c r="C20">
        <v>2011</v>
      </c>
      <c r="D20" s="1">
        <v>75300.717019999996</v>
      </c>
      <c r="E20" s="2" t="s">
        <v>38</v>
      </c>
      <c r="F20" s="5">
        <v>383</v>
      </c>
      <c r="G20" s="6">
        <v>2.0410882218490185</v>
      </c>
      <c r="H20" s="6">
        <v>4.2000000000000002</v>
      </c>
      <c r="L20">
        <v>1</v>
      </c>
    </row>
    <row r="21" hidden="1">
      <c r="A21">
        <v>2</v>
      </c>
      <c r="B21" t="s">
        <v>30</v>
      </c>
      <c r="C21">
        <v>2010</v>
      </c>
      <c r="D21" s="1">
        <v>74219.89185</v>
      </c>
      <c r="E21" s="2" t="s">
        <v>39</v>
      </c>
      <c r="F21" s="5">
        <v>388</v>
      </c>
      <c r="G21" s="6">
        <v>2.6568279100694014</v>
      </c>
      <c r="H21" s="6">
        <v>4.0999999999999996</v>
      </c>
      <c r="L21">
        <v>1</v>
      </c>
    </row>
    <row r="22">
      <c r="A22">
        <v>2</v>
      </c>
      <c r="B22" t="s">
        <v>30</v>
      </c>
      <c r="C22">
        <v>2009</v>
      </c>
      <c r="D22" s="1">
        <v>71584.869489999997</v>
      </c>
      <c r="E22" s="2" t="s">
        <v>40</v>
      </c>
      <c r="F22" s="5">
        <v>392</v>
      </c>
      <c r="G22" s="6">
        <v>2.6413171332846512</v>
      </c>
      <c r="H22" s="6">
        <v>4</v>
      </c>
      <c r="L22">
        <v>1</v>
      </c>
    </row>
    <row r="23" hidden="1">
      <c r="A23">
        <v>3</v>
      </c>
      <c r="B23" t="s">
        <v>41</v>
      </c>
      <c r="C23">
        <v>2018</v>
      </c>
      <c r="E23" s="2" t="s">
        <v>42</v>
      </c>
      <c r="F23" s="5">
        <v>83</v>
      </c>
      <c r="G23" s="6">
        <v>1.8</v>
      </c>
      <c r="H23" s="6">
        <v>2.4045999999999998</v>
      </c>
      <c r="I23" s="1">
        <v>5520.20236100273</v>
      </c>
      <c r="J23" s="1">
        <v>7069.2107829495799</v>
      </c>
      <c r="K23" s="1">
        <f t="shared" si="1"/>
        <v>-1549.0084219468499</v>
      </c>
      <c r="L23">
        <v>1</v>
      </c>
    </row>
    <row r="24" hidden="1">
      <c r="A24">
        <v>3</v>
      </c>
      <c r="B24" t="s">
        <v>41</v>
      </c>
      <c r="C24">
        <v>2017</v>
      </c>
      <c r="D24" s="1">
        <v>26992.139220000001</v>
      </c>
      <c r="E24" s="2" t="s">
        <v>43</v>
      </c>
      <c r="F24" s="5">
        <v>83</v>
      </c>
      <c r="G24" s="6">
        <v>1.8999999999999999</v>
      </c>
      <c r="H24" s="6">
        <v>2.5470000000000002</v>
      </c>
      <c r="I24" s="1">
        <v>5243.1406453415102</v>
      </c>
      <c r="J24" s="1">
        <v>6777.6720400198501</v>
      </c>
      <c r="K24" s="1">
        <f t="shared" si="1"/>
        <v>-1534.5313946783399</v>
      </c>
      <c r="L24">
        <v>1</v>
      </c>
    </row>
    <row r="25" hidden="1">
      <c r="A25">
        <v>3</v>
      </c>
      <c r="B25" t="s">
        <v>41</v>
      </c>
      <c r="C25">
        <v>2016</v>
      </c>
      <c r="D25" s="1">
        <v>26670.298920000001</v>
      </c>
      <c r="E25" s="2" t="s">
        <v>44</v>
      </c>
      <c r="F25" s="5">
        <v>83</v>
      </c>
      <c r="G25" s="6">
        <v>2.0623119449999998</v>
      </c>
      <c r="H25" s="6">
        <v>2.2999999999999998</v>
      </c>
      <c r="I25" s="1">
        <v>4872.1498456130803</v>
      </c>
      <c r="J25" s="1">
        <v>6168.2235343194998</v>
      </c>
      <c r="K25" s="1">
        <f t="shared" si="1"/>
        <v>-1296.0736887064195</v>
      </c>
      <c r="L25">
        <v>1</v>
      </c>
    </row>
    <row r="26" hidden="1">
      <c r="A26">
        <v>3</v>
      </c>
      <c r="B26" t="s">
        <v>41</v>
      </c>
      <c r="C26">
        <v>2015</v>
      </c>
      <c r="D26" s="1">
        <v>26081.2634</v>
      </c>
      <c r="E26" s="2" t="s">
        <v>45</v>
      </c>
      <c r="F26" s="5">
        <v>83</v>
      </c>
      <c r="G26" s="6">
        <v>2.0565786662000001</v>
      </c>
      <c r="H26" s="6">
        <v>2.2000000000000002</v>
      </c>
      <c r="L26">
        <v>1</v>
      </c>
    </row>
    <row r="27" hidden="1">
      <c r="A27">
        <v>3</v>
      </c>
      <c r="B27" t="s">
        <v>41</v>
      </c>
      <c r="C27">
        <v>2014</v>
      </c>
      <c r="D27" s="1">
        <v>25786.986219999999</v>
      </c>
      <c r="E27" s="2" t="s">
        <v>46</v>
      </c>
      <c r="F27" s="5">
        <v>83</v>
      </c>
      <c r="G27" s="6">
        <v>1.9457345499000001</v>
      </c>
      <c r="H27" s="6">
        <v>2.1696</v>
      </c>
      <c r="L27">
        <v>1</v>
      </c>
    </row>
    <row r="28" hidden="1">
      <c r="A28">
        <v>3</v>
      </c>
      <c r="B28" t="s">
        <v>41</v>
      </c>
      <c r="C28">
        <v>2013</v>
      </c>
      <c r="D28" s="1">
        <v>25123.085739999999</v>
      </c>
      <c r="E28" s="2" t="s">
        <v>47</v>
      </c>
      <c r="F28" s="5">
        <v>83</v>
      </c>
      <c r="G28" s="6">
        <v>1.9613362923</v>
      </c>
      <c r="H28" s="6">
        <v>2.1412499999999999</v>
      </c>
      <c r="L28">
        <v>1</v>
      </c>
    </row>
    <row r="29" hidden="1">
      <c r="A29">
        <v>3</v>
      </c>
      <c r="B29" t="s">
        <v>41</v>
      </c>
      <c r="C29">
        <v>2012</v>
      </c>
      <c r="D29" s="1">
        <v>24604.058939999999</v>
      </c>
      <c r="E29" s="2" t="s">
        <v>48</v>
      </c>
      <c r="F29" s="5">
        <v>87</v>
      </c>
      <c r="G29" s="6">
        <v>1.9099999999999999</v>
      </c>
      <c r="H29" s="6">
        <v>2.06013</v>
      </c>
      <c r="L29">
        <v>1</v>
      </c>
    </row>
    <row r="30" hidden="1">
      <c r="A30">
        <v>3</v>
      </c>
      <c r="B30" t="s">
        <v>41</v>
      </c>
      <c r="C30">
        <v>2011</v>
      </c>
      <c r="D30" s="1">
        <v>24165.45463</v>
      </c>
      <c r="E30" s="2" t="s">
        <v>49</v>
      </c>
      <c r="F30" s="5">
        <v>87</v>
      </c>
      <c r="G30" s="6">
        <v>1.8283232537444618</v>
      </c>
      <c r="H30" s="6">
        <v>2</v>
      </c>
      <c r="L30">
        <v>1</v>
      </c>
    </row>
    <row r="31" hidden="1">
      <c r="A31">
        <v>3</v>
      </c>
      <c r="B31" t="s">
        <v>41</v>
      </c>
      <c r="C31">
        <v>2010</v>
      </c>
      <c r="D31" s="1">
        <v>23810.926729999999</v>
      </c>
      <c r="E31" s="2" t="s">
        <v>50</v>
      </c>
      <c r="F31" s="5">
        <v>87</v>
      </c>
      <c r="G31" s="6">
        <v>2.4095222009005162</v>
      </c>
      <c r="H31" s="6">
        <v>2.1000000000000001</v>
      </c>
      <c r="L31">
        <v>1</v>
      </c>
    </row>
    <row r="32">
      <c r="A32">
        <v>3</v>
      </c>
      <c r="B32" t="s">
        <v>41</v>
      </c>
      <c r="C32">
        <v>2009</v>
      </c>
      <c r="D32" s="1">
        <v>22245.781579999999</v>
      </c>
      <c r="E32" s="2" t="s">
        <v>51</v>
      </c>
      <c r="F32" s="5">
        <v>88</v>
      </c>
      <c r="G32" s="6">
        <v>2.8517532179316465</v>
      </c>
      <c r="H32" s="6">
        <v>2.1000000000000001</v>
      </c>
      <c r="L32">
        <v>1</v>
      </c>
    </row>
    <row r="33" hidden="1">
      <c r="A33">
        <v>4</v>
      </c>
      <c r="B33" t="s">
        <v>52</v>
      </c>
      <c r="C33">
        <v>2018</v>
      </c>
      <c r="E33" s="2" t="s">
        <v>53</v>
      </c>
      <c r="F33" s="5">
        <v>20</v>
      </c>
      <c r="G33" s="6">
        <v>0.80000000000000004</v>
      </c>
      <c r="H33" s="6">
        <v>1.2121999999999999</v>
      </c>
      <c r="I33" s="1">
        <v>566.26839855783703</v>
      </c>
      <c r="J33" s="1">
        <v>456.42578196558401</v>
      </c>
      <c r="K33" s="1">
        <f t="shared" si="1"/>
        <v>109.84261659225302</v>
      </c>
      <c r="L33">
        <v>1</v>
      </c>
    </row>
    <row r="34" hidden="1">
      <c r="A34">
        <v>4</v>
      </c>
      <c r="B34" t="s">
        <v>52</v>
      </c>
      <c r="C34">
        <v>2017</v>
      </c>
      <c r="D34" s="1">
        <v>1900.49342</v>
      </c>
      <c r="E34" s="2" t="s">
        <v>54</v>
      </c>
      <c r="F34" s="5">
        <v>20</v>
      </c>
      <c r="G34" s="6">
        <v>1.01</v>
      </c>
      <c r="H34" s="6">
        <v>1.3029999999999999</v>
      </c>
      <c r="I34" s="1">
        <v>516.716284595621</v>
      </c>
      <c r="J34" s="1">
        <v>425.007323514706</v>
      </c>
      <c r="K34" s="1">
        <f t="shared" si="1"/>
        <v>91.708961080915003</v>
      </c>
      <c r="L34">
        <v>1</v>
      </c>
    </row>
    <row r="35" hidden="1">
      <c r="A35">
        <v>4</v>
      </c>
      <c r="B35" t="s">
        <v>52</v>
      </c>
      <c r="C35">
        <v>2016</v>
      </c>
      <c r="D35" s="1">
        <v>1904.6552999999999</v>
      </c>
      <c r="E35" s="2" t="s">
        <v>55</v>
      </c>
      <c r="F35" s="5">
        <v>20</v>
      </c>
      <c r="G35" s="6">
        <v>1.0462271846</v>
      </c>
      <c r="H35" s="6">
        <v>1.3</v>
      </c>
      <c r="I35" s="1">
        <v>477.63849146456403</v>
      </c>
      <c r="J35" s="1">
        <v>381.18914513238104</v>
      </c>
      <c r="K35" s="1">
        <f t="shared" si="1"/>
        <v>96.449346332182984</v>
      </c>
      <c r="L35">
        <v>1</v>
      </c>
    </row>
    <row r="36" hidden="1">
      <c r="A36">
        <v>4</v>
      </c>
      <c r="B36" t="s">
        <v>52</v>
      </c>
      <c r="C36">
        <v>2015</v>
      </c>
      <c r="D36" s="1">
        <v>1902.2936199999999</v>
      </c>
      <c r="E36" s="2" t="s">
        <v>56</v>
      </c>
      <c r="F36" s="5">
        <v>20</v>
      </c>
      <c r="G36" s="6">
        <v>1.0773143504</v>
      </c>
      <c r="H36" s="6">
        <v>1.1000000000000001</v>
      </c>
      <c r="L36">
        <v>1</v>
      </c>
    </row>
    <row r="37" hidden="1">
      <c r="A37">
        <v>4</v>
      </c>
      <c r="B37" t="s">
        <v>52</v>
      </c>
      <c r="C37">
        <v>2014</v>
      </c>
      <c r="D37" s="1">
        <v>1858.1006299999999</v>
      </c>
      <c r="E37" s="2" t="s">
        <v>57</v>
      </c>
      <c r="F37" s="5">
        <v>20</v>
      </c>
      <c r="G37" s="6">
        <v>1.0948499346</v>
      </c>
      <c r="H37" s="6">
        <v>1.1766300000000001</v>
      </c>
      <c r="L37">
        <v>1</v>
      </c>
    </row>
    <row r="38" hidden="1">
      <c r="A38">
        <v>4</v>
      </c>
      <c r="B38" t="s">
        <v>52</v>
      </c>
      <c r="C38">
        <v>2013</v>
      </c>
      <c r="D38" s="1">
        <v>1857.6890100000001</v>
      </c>
      <c r="E38" s="2" t="s">
        <v>58</v>
      </c>
      <c r="F38" s="5">
        <v>20</v>
      </c>
      <c r="G38" s="6">
        <v>1.2558001511000001</v>
      </c>
      <c r="H38" s="6">
        <v>1.1150599999999999</v>
      </c>
      <c r="L38">
        <v>1</v>
      </c>
    </row>
    <row r="39" hidden="1">
      <c r="A39">
        <v>4</v>
      </c>
      <c r="B39" t="s">
        <v>52</v>
      </c>
      <c r="C39">
        <v>2012</v>
      </c>
      <c r="D39" s="1">
        <v>1816.7378799999999</v>
      </c>
      <c r="E39" s="2" t="s">
        <v>59</v>
      </c>
      <c r="F39" s="5">
        <v>20</v>
      </c>
      <c r="G39" s="6">
        <v>1.3400000000000001</v>
      </c>
      <c r="H39" s="6">
        <v>1.1276900000000001</v>
      </c>
      <c r="L39">
        <v>1</v>
      </c>
    </row>
    <row r="40" hidden="1">
      <c r="A40">
        <v>4</v>
      </c>
      <c r="B40" t="s">
        <v>52</v>
      </c>
      <c r="C40">
        <v>2011</v>
      </c>
      <c r="D40" s="1">
        <v>1841.33727</v>
      </c>
      <c r="E40" s="2" t="s">
        <v>60</v>
      </c>
      <c r="F40" s="5">
        <v>20</v>
      </c>
      <c r="G40" s="6">
        <v>1.1721700658249703</v>
      </c>
      <c r="H40" s="6">
        <v>1.1000000000000001</v>
      </c>
      <c r="L40">
        <v>1</v>
      </c>
    </row>
    <row r="41" hidden="1">
      <c r="A41">
        <v>4</v>
      </c>
      <c r="B41" t="s">
        <v>52</v>
      </c>
      <c r="C41">
        <v>2010</v>
      </c>
      <c r="D41" s="1">
        <v>1777.83485</v>
      </c>
      <c r="E41" s="2" t="s">
        <v>61</v>
      </c>
      <c r="F41" s="5">
        <v>20</v>
      </c>
      <c r="G41" s="6">
        <v>1.3430272292363583</v>
      </c>
      <c r="H41" s="6">
        <v>1.1000000000000001</v>
      </c>
      <c r="L41">
        <v>1</v>
      </c>
    </row>
    <row r="42">
      <c r="A42">
        <v>4</v>
      </c>
      <c r="B42" t="s">
        <v>52</v>
      </c>
      <c r="C42">
        <v>2009</v>
      </c>
      <c r="D42" s="1">
        <v>1757.7178799999999</v>
      </c>
      <c r="E42" s="2" t="s">
        <v>62</v>
      </c>
      <c r="F42" s="5">
        <v>20</v>
      </c>
      <c r="G42" s="6">
        <v>1.2966755798297016</v>
      </c>
      <c r="H42" s="6">
        <v>1.2</v>
      </c>
      <c r="L42">
        <v>1</v>
      </c>
    </row>
    <row r="43" hidden="1">
      <c r="A43">
        <v>5</v>
      </c>
      <c r="B43" t="s">
        <v>63</v>
      </c>
      <c r="C43">
        <v>2018</v>
      </c>
      <c r="E43" s="2" t="s">
        <v>64</v>
      </c>
      <c r="F43" s="5">
        <v>30</v>
      </c>
      <c r="G43" s="6">
        <v>1.3999999999999999</v>
      </c>
      <c r="H43" s="6">
        <v>1.4367000000000001</v>
      </c>
      <c r="I43" s="1">
        <v>1938.60640222593</v>
      </c>
      <c r="J43" s="1">
        <v>1797.81052357007</v>
      </c>
      <c r="K43" s="1">
        <f t="shared" si="1"/>
        <v>140.79587865585995</v>
      </c>
      <c r="L43">
        <v>1</v>
      </c>
    </row>
    <row r="44" hidden="1">
      <c r="A44">
        <v>5</v>
      </c>
      <c r="B44" t="s">
        <v>63</v>
      </c>
      <c r="C44">
        <v>2017</v>
      </c>
      <c r="D44" s="1">
        <v>9443.9290700000001</v>
      </c>
      <c r="E44" s="2" t="s">
        <v>65</v>
      </c>
      <c r="F44" s="5">
        <v>30</v>
      </c>
      <c r="G44" s="6">
        <v>1.79</v>
      </c>
      <c r="H44" s="6">
        <v>1.3839999999999999</v>
      </c>
      <c r="I44" s="1">
        <v>1840.28008079302</v>
      </c>
      <c r="J44" s="1">
        <v>1708.34648126913</v>
      </c>
      <c r="K44" s="1">
        <f t="shared" si="1"/>
        <v>131.93359952389005</v>
      </c>
      <c r="L44">
        <v>1</v>
      </c>
    </row>
    <row r="45" hidden="1">
      <c r="A45">
        <v>5</v>
      </c>
      <c r="B45" t="s">
        <v>63</v>
      </c>
      <c r="C45">
        <v>2016</v>
      </c>
      <c r="D45" s="1">
        <v>9273.66093</v>
      </c>
      <c r="E45" s="2" t="s">
        <v>66</v>
      </c>
      <c r="F45" s="5">
        <v>30</v>
      </c>
      <c r="G45" s="6">
        <v>1.7533994864</v>
      </c>
      <c r="H45" s="6">
        <v>1.3999999999999999</v>
      </c>
      <c r="I45" s="1">
        <v>1486.83927550472</v>
      </c>
      <c r="J45" s="1">
        <v>1645.9049925957202</v>
      </c>
      <c r="K45" s="1">
        <f t="shared" si="1"/>
        <v>-159.06571709100012</v>
      </c>
      <c r="L45">
        <v>1</v>
      </c>
    </row>
    <row r="46" hidden="1">
      <c r="A46">
        <v>5</v>
      </c>
      <c r="B46" t="s">
        <v>63</v>
      </c>
      <c r="C46">
        <v>2015</v>
      </c>
      <c r="D46" s="1">
        <v>9090.4130600000008</v>
      </c>
      <c r="E46" s="2" t="s">
        <v>67</v>
      </c>
      <c r="F46" s="5">
        <v>30</v>
      </c>
      <c r="G46" s="6">
        <v>1.6605919143000001</v>
      </c>
      <c r="H46" s="6">
        <v>1.3999999999999999</v>
      </c>
      <c r="L46">
        <v>1</v>
      </c>
    </row>
    <row r="47" hidden="1">
      <c r="A47">
        <v>5</v>
      </c>
      <c r="B47" t="s">
        <v>63</v>
      </c>
      <c r="C47">
        <v>2014</v>
      </c>
      <c r="D47" s="1">
        <v>8922.7382699999998</v>
      </c>
      <c r="E47" s="2" t="s">
        <v>68</v>
      </c>
      <c r="F47" s="5">
        <v>30</v>
      </c>
      <c r="G47" s="6">
        <v>1.6076642848</v>
      </c>
      <c r="H47" s="6">
        <v>1.5073099999999999</v>
      </c>
      <c r="L47">
        <v>1</v>
      </c>
    </row>
    <row r="48" hidden="1">
      <c r="A48">
        <v>5</v>
      </c>
      <c r="B48" t="s">
        <v>63</v>
      </c>
      <c r="C48">
        <v>2013</v>
      </c>
      <c r="D48" s="1">
        <v>8820.4104800000005</v>
      </c>
      <c r="E48" s="2" t="s">
        <v>69</v>
      </c>
      <c r="F48" s="5">
        <v>30</v>
      </c>
      <c r="G48" s="6">
        <v>1.5083826725</v>
      </c>
      <c r="H48" s="6">
        <v>1.5010300000000001</v>
      </c>
      <c r="L48">
        <v>1</v>
      </c>
    </row>
    <row r="49" hidden="1">
      <c r="A49">
        <v>5</v>
      </c>
      <c r="B49" t="s">
        <v>63</v>
      </c>
      <c r="C49">
        <v>2012</v>
      </c>
      <c r="D49" s="1">
        <v>8550.7671599999994</v>
      </c>
      <c r="E49" s="2" t="s">
        <v>70</v>
      </c>
      <c r="F49" s="5">
        <v>30</v>
      </c>
      <c r="G49" s="6">
        <v>1.3100000000000001</v>
      </c>
      <c r="H49" s="6">
        <v>1.44553</v>
      </c>
      <c r="L49">
        <v>1</v>
      </c>
    </row>
    <row r="50" hidden="1">
      <c r="A50">
        <v>5</v>
      </c>
      <c r="B50" t="s">
        <v>63</v>
      </c>
      <c r="C50">
        <v>2011</v>
      </c>
      <c r="D50" s="1">
        <v>8453.4458200000008</v>
      </c>
      <c r="E50" s="2" t="s">
        <v>71</v>
      </c>
      <c r="F50" s="5">
        <v>30</v>
      </c>
      <c r="G50" s="6">
        <v>1.3998365329027371</v>
      </c>
      <c r="H50" s="6">
        <v>1.3999999999999999</v>
      </c>
      <c r="L50">
        <v>1</v>
      </c>
    </row>
    <row r="51" hidden="1">
      <c r="A51">
        <v>5</v>
      </c>
      <c r="B51" t="s">
        <v>63</v>
      </c>
      <c r="C51">
        <v>2010</v>
      </c>
      <c r="D51" s="1">
        <v>8479.1579899999997</v>
      </c>
      <c r="E51" s="2" t="s">
        <v>72</v>
      </c>
      <c r="F51" s="5">
        <v>30</v>
      </c>
      <c r="G51" s="6">
        <v>1.9749616251021671</v>
      </c>
      <c r="H51" s="6">
        <v>1.3999999999999999</v>
      </c>
      <c r="L51">
        <v>1</v>
      </c>
    </row>
    <row r="52">
      <c r="A52">
        <v>5</v>
      </c>
      <c r="B52" t="s">
        <v>63</v>
      </c>
      <c r="C52">
        <v>2009</v>
      </c>
      <c r="D52" s="1">
        <v>8338.6415300000008</v>
      </c>
      <c r="E52" s="2" t="s">
        <v>73</v>
      </c>
      <c r="F52" s="5">
        <v>30</v>
      </c>
      <c r="G52" s="6">
        <v>2.0612472889088327</v>
      </c>
      <c r="H52" s="6">
        <v>1.5</v>
      </c>
      <c r="L52">
        <v>1</v>
      </c>
    </row>
    <row r="53" hidden="1">
      <c r="A53">
        <v>6</v>
      </c>
      <c r="B53" t="s">
        <v>74</v>
      </c>
      <c r="C53">
        <v>2018</v>
      </c>
      <c r="E53" s="2" t="s">
        <v>75</v>
      </c>
      <c r="F53" s="5">
        <v>7</v>
      </c>
      <c r="G53" s="6">
        <v>0.69999999999999996</v>
      </c>
      <c r="H53" s="6">
        <v>1.0725</v>
      </c>
      <c r="I53" s="1">
        <v>1011.4413534593</v>
      </c>
      <c r="J53" s="1">
        <v>502.44984143027801</v>
      </c>
      <c r="K53" s="1">
        <f t="shared" si="1"/>
        <v>508.99151202902198</v>
      </c>
      <c r="L53">
        <v>1</v>
      </c>
    </row>
    <row r="54" hidden="1">
      <c r="A54">
        <v>6</v>
      </c>
      <c r="B54" t="s">
        <v>74</v>
      </c>
      <c r="C54">
        <v>2017</v>
      </c>
      <c r="D54" s="1">
        <v>2509.8009099999999</v>
      </c>
      <c r="E54" s="2" t="s">
        <v>76</v>
      </c>
      <c r="F54" s="5">
        <v>7</v>
      </c>
      <c r="G54" s="6">
        <v>0.89000000000000001</v>
      </c>
      <c r="H54" s="6">
        <v>1.153</v>
      </c>
      <c r="I54" s="1">
        <v>927.40901561871601</v>
      </c>
      <c r="J54" s="1">
        <v>685.20795449756702</v>
      </c>
      <c r="K54" s="1">
        <f t="shared" si="1"/>
        <v>242.201061121149</v>
      </c>
      <c r="L54">
        <v>1</v>
      </c>
    </row>
    <row r="55" hidden="1">
      <c r="A55">
        <v>6</v>
      </c>
      <c r="B55" t="s">
        <v>74</v>
      </c>
      <c r="C55">
        <v>2016</v>
      </c>
      <c r="D55" s="1">
        <v>2493.3514599999999</v>
      </c>
      <c r="E55" s="2" t="s">
        <v>77</v>
      </c>
      <c r="F55" s="5">
        <v>7</v>
      </c>
      <c r="G55" s="6">
        <v>1.0067300751999999</v>
      </c>
      <c r="H55" s="6">
        <v>1.1000000000000001</v>
      </c>
      <c r="I55" s="1">
        <v>889.98030291023304</v>
      </c>
      <c r="J55" s="1">
        <v>433.00335139561702</v>
      </c>
      <c r="K55" s="1">
        <f t="shared" si="1"/>
        <v>456.97695151461602</v>
      </c>
      <c r="L55">
        <v>1</v>
      </c>
    </row>
    <row r="56" hidden="1">
      <c r="A56">
        <v>6</v>
      </c>
      <c r="B56" t="s">
        <v>74</v>
      </c>
      <c r="C56">
        <v>2015</v>
      </c>
      <c r="D56" s="1">
        <v>2416.2058299999999</v>
      </c>
      <c r="E56" s="2" t="s">
        <v>78</v>
      </c>
      <c r="F56" s="5">
        <v>7</v>
      </c>
      <c r="G56" s="6">
        <v>0.90745989579999997</v>
      </c>
      <c r="H56" s="6">
        <v>1</v>
      </c>
      <c r="L56">
        <v>1</v>
      </c>
    </row>
    <row r="57" hidden="1">
      <c r="A57">
        <v>6</v>
      </c>
      <c r="B57" t="s">
        <v>74</v>
      </c>
      <c r="C57">
        <v>2014</v>
      </c>
      <c r="D57" s="1">
        <v>2382.1572900000001</v>
      </c>
      <c r="E57" s="2" t="s">
        <v>79</v>
      </c>
      <c r="F57" s="5">
        <v>7</v>
      </c>
      <c r="G57" s="6">
        <v>0.94896450030000001</v>
      </c>
      <c r="H57" s="6">
        <v>1.1039000000000001</v>
      </c>
      <c r="L57">
        <v>1</v>
      </c>
    </row>
    <row r="58" hidden="1">
      <c r="A58">
        <v>6</v>
      </c>
      <c r="B58" t="s">
        <v>74</v>
      </c>
      <c r="C58">
        <v>2013</v>
      </c>
      <c r="D58" s="1">
        <v>2348.2040400000001</v>
      </c>
      <c r="E58" s="2" t="s">
        <v>80</v>
      </c>
      <c r="F58" s="5">
        <v>7</v>
      </c>
      <c r="G58" s="6">
        <v>0.92198581560000004</v>
      </c>
      <c r="H58" s="6">
        <v>1.13249</v>
      </c>
      <c r="L58">
        <v>1</v>
      </c>
    </row>
    <row r="59" hidden="1">
      <c r="A59">
        <v>6</v>
      </c>
      <c r="B59" t="s">
        <v>74</v>
      </c>
      <c r="C59">
        <v>2012</v>
      </c>
      <c r="D59" s="1">
        <v>2335.9008800000001</v>
      </c>
      <c r="E59" s="2" t="s">
        <v>81</v>
      </c>
      <c r="F59" s="5">
        <v>7</v>
      </c>
      <c r="G59" s="6">
        <v>0.88</v>
      </c>
      <c r="H59" s="6">
        <v>1.1954899999999999</v>
      </c>
      <c r="L59">
        <v>1</v>
      </c>
    </row>
    <row r="60" hidden="1">
      <c r="A60">
        <v>6</v>
      </c>
      <c r="B60" t="s">
        <v>74</v>
      </c>
      <c r="C60">
        <v>2011</v>
      </c>
      <c r="D60" s="1">
        <v>2344.4703</v>
      </c>
      <c r="E60" s="2" t="s">
        <v>82</v>
      </c>
      <c r="F60" s="5">
        <v>7</v>
      </c>
      <c r="G60" s="6">
        <v>0.77369439071566726</v>
      </c>
      <c r="H60" s="6">
        <v>1.2</v>
      </c>
      <c r="L60">
        <v>1</v>
      </c>
    </row>
    <row r="61" hidden="1">
      <c r="A61">
        <v>6</v>
      </c>
      <c r="B61" t="s">
        <v>74</v>
      </c>
      <c r="C61">
        <v>2010</v>
      </c>
      <c r="D61" s="1">
        <v>2315.1404400000001</v>
      </c>
      <c r="E61" s="2" t="s">
        <v>83</v>
      </c>
      <c r="F61" s="5">
        <v>7</v>
      </c>
      <c r="G61" s="6">
        <v>1.2794165054803353</v>
      </c>
      <c r="H61" s="6">
        <v>1</v>
      </c>
      <c r="L61">
        <v>1</v>
      </c>
    </row>
    <row r="62">
      <c r="A62">
        <v>6</v>
      </c>
      <c r="B62" t="s">
        <v>74</v>
      </c>
      <c r="C62">
        <v>2009</v>
      </c>
      <c r="D62" s="1">
        <v>2165.7046599999999</v>
      </c>
      <c r="E62" s="2" t="s">
        <v>84</v>
      </c>
      <c r="F62" s="5">
        <v>7</v>
      </c>
      <c r="G62" s="6">
        <v>1.6375068862673581</v>
      </c>
      <c r="H62" s="6">
        <v>1</v>
      </c>
      <c r="L62">
        <v>1</v>
      </c>
    </row>
    <row r="63" hidden="1">
      <c r="A63">
        <v>7</v>
      </c>
      <c r="B63" t="s">
        <v>85</v>
      </c>
      <c r="C63">
        <v>2018</v>
      </c>
      <c r="E63" s="2" t="s">
        <v>86</v>
      </c>
      <c r="F63" s="5">
        <v>11</v>
      </c>
      <c r="G63" s="6">
        <v>1</v>
      </c>
      <c r="H63" s="6">
        <v>0.90300000000000002</v>
      </c>
      <c r="I63" s="1">
        <v>1225.8171339161202</v>
      </c>
      <c r="J63" s="1">
        <v>1178.4038466591799</v>
      </c>
      <c r="K63" s="1">
        <f t="shared" si="1"/>
        <v>47.413287256940293</v>
      </c>
      <c r="L63">
        <v>1</v>
      </c>
    </row>
    <row r="64" hidden="1">
      <c r="A64">
        <v>7</v>
      </c>
      <c r="B64" t="s">
        <v>85</v>
      </c>
      <c r="C64">
        <v>2017</v>
      </c>
      <c r="D64" s="1">
        <v>3050.2255100000002</v>
      </c>
      <c r="E64" s="2" t="s">
        <v>87</v>
      </c>
      <c r="F64" s="5">
        <v>11</v>
      </c>
      <c r="G64" s="6">
        <v>1.1200000000000001</v>
      </c>
      <c r="H64" s="6">
        <v>0.91600000000000004</v>
      </c>
      <c r="I64" s="1">
        <v>998.93348824973793</v>
      </c>
      <c r="J64" s="1">
        <v>1036.69424327455</v>
      </c>
      <c r="K64" s="1">
        <f t="shared" si="1"/>
        <v>-37.760755024812056</v>
      </c>
      <c r="L64">
        <v>1</v>
      </c>
    </row>
    <row r="65" hidden="1">
      <c r="A65">
        <v>7</v>
      </c>
      <c r="B65" t="s">
        <v>85</v>
      </c>
      <c r="C65">
        <v>2016</v>
      </c>
      <c r="D65" s="1">
        <v>2946.16248</v>
      </c>
      <c r="E65" s="2" t="s">
        <v>88</v>
      </c>
      <c r="F65" s="5">
        <v>11</v>
      </c>
      <c r="G65" s="6">
        <v>1.1491941896</v>
      </c>
      <c r="H65" s="6">
        <v>1</v>
      </c>
      <c r="I65" s="1">
        <v>994.83020926232302</v>
      </c>
      <c r="J65" s="1">
        <v>969.96256192158694</v>
      </c>
      <c r="K65" s="1">
        <f t="shared" si="1"/>
        <v>24.867647340736085</v>
      </c>
      <c r="L65">
        <v>1</v>
      </c>
    </row>
    <row r="66" hidden="1">
      <c r="A66">
        <v>7</v>
      </c>
      <c r="B66" t="s">
        <v>85</v>
      </c>
      <c r="C66">
        <v>2015</v>
      </c>
      <c r="D66" s="1">
        <v>2936.1434300000001</v>
      </c>
      <c r="E66" s="2" t="s">
        <v>89</v>
      </c>
      <c r="F66" s="5">
        <v>11</v>
      </c>
      <c r="G66" s="6">
        <v>1.0952569842</v>
      </c>
      <c r="H66" s="6">
        <v>0.90000000000000002</v>
      </c>
      <c r="L66">
        <v>1</v>
      </c>
    </row>
    <row r="67" hidden="1">
      <c r="A67">
        <v>7</v>
      </c>
      <c r="B67" t="s">
        <v>85</v>
      </c>
      <c r="C67">
        <v>2014</v>
      </c>
      <c r="D67" s="1">
        <v>2952.4611199999999</v>
      </c>
      <c r="E67" s="2" t="s">
        <v>90</v>
      </c>
      <c r="F67" s="5">
        <v>11</v>
      </c>
      <c r="G67" s="6">
        <v>1.0035693474</v>
      </c>
      <c r="H67" s="6">
        <v>0.93344000000000005</v>
      </c>
      <c r="L67">
        <v>1</v>
      </c>
    </row>
    <row r="68" hidden="1">
      <c r="A68">
        <v>7</v>
      </c>
      <c r="B68" t="s">
        <v>85</v>
      </c>
      <c r="C68">
        <v>2013</v>
      </c>
      <c r="D68" s="1">
        <v>2889.8697999999999</v>
      </c>
      <c r="E68" s="2" t="s">
        <v>91</v>
      </c>
      <c r="F68" s="5">
        <v>11</v>
      </c>
      <c r="G68" s="6">
        <v>1.0075063503999999</v>
      </c>
      <c r="H68" s="6">
        <v>0.90659999999999996</v>
      </c>
      <c r="L68">
        <v>1</v>
      </c>
    </row>
    <row r="69" hidden="1">
      <c r="A69">
        <v>7</v>
      </c>
      <c r="B69" t="s">
        <v>85</v>
      </c>
      <c r="C69">
        <v>2012</v>
      </c>
      <c r="D69" s="1">
        <v>2741.9870000000001</v>
      </c>
      <c r="E69" s="2" t="s">
        <v>92</v>
      </c>
      <c r="F69" s="5">
        <v>11</v>
      </c>
      <c r="G69" s="6">
        <v>0.90000000000000002</v>
      </c>
      <c r="H69" s="6">
        <v>0.88112000000000001</v>
      </c>
      <c r="L69">
        <v>1</v>
      </c>
    </row>
    <row r="70" hidden="1">
      <c r="A70">
        <v>7</v>
      </c>
      <c r="B70" t="s">
        <v>85</v>
      </c>
      <c r="C70">
        <v>2011</v>
      </c>
      <c r="D70" s="1">
        <v>2722.4370399999998</v>
      </c>
      <c r="E70" s="2" t="s">
        <v>93</v>
      </c>
      <c r="F70" s="5">
        <v>11</v>
      </c>
      <c r="G70" s="6">
        <v>0.8915574963609898</v>
      </c>
      <c r="H70" s="6">
        <v>0.90000000000000002</v>
      </c>
      <c r="L70">
        <v>1</v>
      </c>
    </row>
    <row r="71" hidden="1">
      <c r="A71">
        <v>7</v>
      </c>
      <c r="B71" t="s">
        <v>85</v>
      </c>
      <c r="C71">
        <v>2010</v>
      </c>
      <c r="D71" s="1">
        <v>2666.9210699999999</v>
      </c>
      <c r="E71" s="2" t="s">
        <v>94</v>
      </c>
      <c r="F71" s="5">
        <v>11</v>
      </c>
      <c r="G71" s="6">
        <v>1.5180380740360189</v>
      </c>
      <c r="H71" s="6">
        <v>1</v>
      </c>
      <c r="L71">
        <v>1</v>
      </c>
    </row>
    <row r="72">
      <c r="A72">
        <v>7</v>
      </c>
      <c r="B72" t="s">
        <v>85</v>
      </c>
      <c r="C72">
        <v>2009</v>
      </c>
      <c r="D72" s="1">
        <v>2453.0067899999999</v>
      </c>
      <c r="E72" s="2" t="s">
        <v>95</v>
      </c>
      <c r="F72" s="5">
        <v>11</v>
      </c>
      <c r="G72" s="6">
        <v>1.8247276999777713</v>
      </c>
      <c r="H72" s="6">
        <v>0.90000000000000002</v>
      </c>
      <c r="L72">
        <v>1</v>
      </c>
    </row>
    <row r="73" hidden="1">
      <c r="A73">
        <v>8</v>
      </c>
      <c r="B73" t="s">
        <v>96</v>
      </c>
      <c r="C73">
        <v>2018</v>
      </c>
      <c r="E73" s="2" t="s">
        <v>97</v>
      </c>
      <c r="F73" s="5">
        <v>3</v>
      </c>
      <c r="G73" s="6">
        <v>1.7</v>
      </c>
      <c r="H73" s="6">
        <v>1.8811</v>
      </c>
      <c r="I73" s="1">
        <v>673.49636855838594</v>
      </c>
      <c r="J73" s="1">
        <v>615.791116329376</v>
      </c>
      <c r="K73" s="1">
        <f t="shared" si="1"/>
        <v>57.705252229009943</v>
      </c>
      <c r="L73">
        <v>1</v>
      </c>
    </row>
    <row r="74" hidden="1">
      <c r="A74">
        <v>8</v>
      </c>
      <c r="B74" t="s">
        <v>96</v>
      </c>
      <c r="C74">
        <v>2017</v>
      </c>
      <c r="D74" s="1">
        <v>2763.85941</v>
      </c>
      <c r="E74" s="2" t="s">
        <v>98</v>
      </c>
      <c r="F74" s="5">
        <v>3</v>
      </c>
      <c r="G74" s="6">
        <v>2.1200000000000001</v>
      </c>
      <c r="H74" s="6">
        <v>1.7929999999999999</v>
      </c>
      <c r="I74" s="1">
        <v>621.2484812131521</v>
      </c>
      <c r="J74" s="1">
        <v>594.69085121689102</v>
      </c>
      <c r="K74" s="1">
        <f t="shared" si="1"/>
        <v>26.557629996261085</v>
      </c>
      <c r="L74">
        <v>1</v>
      </c>
    </row>
    <row r="75" hidden="1">
      <c r="A75">
        <v>8</v>
      </c>
      <c r="B75" t="s">
        <v>96</v>
      </c>
      <c r="C75">
        <v>2016</v>
      </c>
      <c r="D75" s="1">
        <v>2715.3434299999999</v>
      </c>
      <c r="E75" s="2" t="s">
        <v>99</v>
      </c>
      <c r="F75" s="5">
        <v>3</v>
      </c>
      <c r="G75" s="6">
        <v>2.3577311961</v>
      </c>
      <c r="H75" s="6">
        <v>1.8</v>
      </c>
      <c r="I75" s="1">
        <v>640.03028655195408</v>
      </c>
      <c r="J75" s="1">
        <v>563.37285192884394</v>
      </c>
      <c r="K75" s="1">
        <f t="shared" si="1"/>
        <v>76.657434623110134</v>
      </c>
      <c r="L75">
        <v>1</v>
      </c>
    </row>
    <row r="76" hidden="1">
      <c r="A76">
        <v>8</v>
      </c>
      <c r="B76" t="s">
        <v>96</v>
      </c>
      <c r="C76">
        <v>2015</v>
      </c>
      <c r="D76" s="1">
        <v>2708.4506200000001</v>
      </c>
      <c r="E76" s="2" t="s">
        <v>100</v>
      </c>
      <c r="F76" s="5">
        <v>3</v>
      </c>
      <c r="G76" s="6">
        <v>2.1758124896000002</v>
      </c>
      <c r="H76" s="6">
        <v>1.8999999999999999</v>
      </c>
      <c r="L76">
        <v>1</v>
      </c>
    </row>
    <row r="77" hidden="1">
      <c r="A77">
        <v>8</v>
      </c>
      <c r="B77" t="s">
        <v>96</v>
      </c>
      <c r="C77">
        <v>2014</v>
      </c>
      <c r="D77" s="1">
        <v>2702.9573300000002</v>
      </c>
      <c r="E77" s="2" t="s">
        <v>101</v>
      </c>
      <c r="F77" s="5">
        <v>3</v>
      </c>
      <c r="G77" s="6">
        <v>2.2538550826999999</v>
      </c>
      <c r="H77" s="6">
        <v>2.0710700000000002</v>
      </c>
      <c r="L77">
        <v>1</v>
      </c>
    </row>
    <row r="78" hidden="1">
      <c r="A78">
        <v>8</v>
      </c>
      <c r="B78" t="s">
        <v>96</v>
      </c>
      <c r="C78">
        <v>2013</v>
      </c>
      <c r="D78" s="1">
        <v>2654.7336799999998</v>
      </c>
      <c r="E78" s="2" t="s">
        <v>102</v>
      </c>
      <c r="F78" s="5">
        <v>3</v>
      </c>
      <c r="G78" s="6">
        <v>2.4763619990999999</v>
      </c>
      <c r="H78" s="6">
        <v>1.9964900000000001</v>
      </c>
      <c r="L78">
        <v>1</v>
      </c>
    </row>
    <row r="79" hidden="1">
      <c r="A79">
        <v>8</v>
      </c>
      <c r="B79" t="s">
        <v>96</v>
      </c>
      <c r="C79">
        <v>2012</v>
      </c>
      <c r="D79" s="1">
        <v>2562.8347100000001</v>
      </c>
      <c r="E79" s="2" t="s">
        <v>103</v>
      </c>
      <c r="F79" s="5">
        <v>3</v>
      </c>
      <c r="G79" s="6">
        <v>2.3300000000000001</v>
      </c>
      <c r="H79" s="6">
        <v>1.97363</v>
      </c>
      <c r="L79">
        <v>1</v>
      </c>
    </row>
    <row r="80" hidden="1">
      <c r="A80">
        <v>8</v>
      </c>
      <c r="B80" t="s">
        <v>96</v>
      </c>
      <c r="C80">
        <v>2011</v>
      </c>
      <c r="D80" s="1">
        <v>2555.8470299999999</v>
      </c>
      <c r="E80" s="2" t="s">
        <v>104</v>
      </c>
      <c r="F80" s="5">
        <v>3</v>
      </c>
      <c r="G80" s="6">
        <v>1.9401921056581122</v>
      </c>
      <c r="H80" s="6">
        <v>2</v>
      </c>
      <c r="L80">
        <v>1</v>
      </c>
    </row>
    <row r="81" hidden="1">
      <c r="A81">
        <v>8</v>
      </c>
      <c r="B81" t="s">
        <v>96</v>
      </c>
      <c r="C81">
        <v>2010</v>
      </c>
      <c r="D81" s="1">
        <v>2495.7223600000002</v>
      </c>
      <c r="E81" s="2" t="s">
        <v>105</v>
      </c>
      <c r="F81" s="5">
        <v>25</v>
      </c>
      <c r="G81" s="6">
        <v>2.4178298063935166</v>
      </c>
      <c r="H81" s="6">
        <v>2.1000000000000001</v>
      </c>
      <c r="L81">
        <v>1</v>
      </c>
    </row>
    <row r="82">
      <c r="A82">
        <v>8</v>
      </c>
      <c r="B82" t="s">
        <v>96</v>
      </c>
      <c r="C82">
        <v>2009</v>
      </c>
      <c r="D82" s="1">
        <v>2429.59366</v>
      </c>
      <c r="E82" s="2" t="s">
        <v>106</v>
      </c>
      <c r="F82" s="5">
        <v>25</v>
      </c>
      <c r="G82" s="6">
        <v>2.4330545289502687</v>
      </c>
      <c r="H82" s="6">
        <v>2.1000000000000001</v>
      </c>
      <c r="L82">
        <v>1</v>
      </c>
    </row>
    <row r="83" hidden="1">
      <c r="A83">
        <v>9</v>
      </c>
      <c r="B83" t="s">
        <v>107</v>
      </c>
      <c r="C83">
        <v>2018</v>
      </c>
      <c r="E83" s="2" t="s">
        <v>108</v>
      </c>
      <c r="F83" s="5">
        <v>11</v>
      </c>
      <c r="G83" s="6">
        <v>2.2000000000000002</v>
      </c>
      <c r="H83" s="6">
        <v>1.6679999999999999</v>
      </c>
      <c r="I83" s="1">
        <v>11186.670001525101</v>
      </c>
      <c r="J83" s="1">
        <v>12394.482349959299</v>
      </c>
      <c r="K83" s="1">
        <f t="shared" ref="K77:K95" si="2">I83-J83</f>
        <v>-1207.8123484341977</v>
      </c>
      <c r="L83">
        <v>1</v>
      </c>
    </row>
    <row r="84" hidden="1">
      <c r="A84">
        <v>9</v>
      </c>
      <c r="B84" t="s">
        <v>107</v>
      </c>
      <c r="C84">
        <v>2017</v>
      </c>
      <c r="D84" s="1">
        <v>18920.53485</v>
      </c>
      <c r="E84" s="2" t="s">
        <v>109</v>
      </c>
      <c r="F84" s="5">
        <v>11</v>
      </c>
      <c r="G84" s="6">
        <v>2.4199999999999999</v>
      </c>
      <c r="H84" s="6">
        <v>1.742</v>
      </c>
      <c r="I84" s="1">
        <v>10862.310431488198</v>
      </c>
      <c r="J84" s="1">
        <v>12205.4730028709</v>
      </c>
      <c r="K84" s="1">
        <f t="shared" si="2"/>
        <v>-1343.1625713827016</v>
      </c>
      <c r="L84">
        <v>1</v>
      </c>
    </row>
    <row r="85" hidden="1">
      <c r="A85">
        <v>9</v>
      </c>
      <c r="B85" t="s">
        <v>107</v>
      </c>
      <c r="C85">
        <v>2016</v>
      </c>
      <c r="D85" s="1">
        <v>18907.16806</v>
      </c>
      <c r="E85" s="2" t="s">
        <v>110</v>
      </c>
      <c r="F85" s="5">
        <v>11</v>
      </c>
      <c r="G85" s="6">
        <v>2.3636654868</v>
      </c>
      <c r="H85" s="6">
        <v>1.7</v>
      </c>
      <c r="I85" s="1">
        <v>10836.613367596399</v>
      </c>
      <c r="J85" s="1">
        <v>10912.461669349899</v>
      </c>
      <c r="K85" s="1">
        <f t="shared" si="2"/>
        <v>-75.848301753499982</v>
      </c>
      <c r="L85">
        <v>1</v>
      </c>
    </row>
    <row r="86" hidden="1">
      <c r="A86">
        <v>9</v>
      </c>
      <c r="B86" t="s">
        <v>107</v>
      </c>
      <c r="C86">
        <v>2015</v>
      </c>
      <c r="D86" s="1">
        <v>18400.018759999999</v>
      </c>
      <c r="E86" s="2" t="s">
        <v>111</v>
      </c>
      <c r="F86" s="5">
        <v>11</v>
      </c>
      <c r="G86" s="6">
        <v>2.3320258415000001</v>
      </c>
      <c r="H86" s="6">
        <v>1.7</v>
      </c>
      <c r="L86">
        <v>1</v>
      </c>
    </row>
    <row r="87" hidden="1">
      <c r="A87">
        <v>9</v>
      </c>
      <c r="B87" t="s">
        <v>107</v>
      </c>
      <c r="C87">
        <v>2014</v>
      </c>
      <c r="D87" s="1">
        <v>18159.906009999999</v>
      </c>
      <c r="E87" s="2" t="s">
        <v>112</v>
      </c>
      <c r="F87" s="5">
        <v>11</v>
      </c>
      <c r="G87" s="6">
        <v>2.2658745996</v>
      </c>
      <c r="H87" s="6">
        <v>1.7059200000000001</v>
      </c>
      <c r="L87">
        <v>1</v>
      </c>
    </row>
    <row r="88" hidden="1">
      <c r="A88">
        <v>9</v>
      </c>
      <c r="B88" t="s">
        <v>107</v>
      </c>
      <c r="C88">
        <v>2013</v>
      </c>
      <c r="D88" s="1">
        <v>18642.401829999999</v>
      </c>
      <c r="E88" s="2" t="s">
        <v>113</v>
      </c>
      <c r="F88" s="5">
        <v>11</v>
      </c>
      <c r="G88" s="6">
        <v>2.1045081223</v>
      </c>
      <c r="H88" s="6">
        <v>1.6693100000000001</v>
      </c>
      <c r="L88">
        <v>1</v>
      </c>
    </row>
    <row r="89" hidden="1">
      <c r="A89">
        <v>9</v>
      </c>
      <c r="B89" t="s">
        <v>107</v>
      </c>
      <c r="C89">
        <v>2012</v>
      </c>
      <c r="D89" s="1">
        <v>17546.614659999999</v>
      </c>
      <c r="E89" s="2" t="s">
        <v>114</v>
      </c>
      <c r="F89" s="5">
        <v>11</v>
      </c>
      <c r="G89" s="6">
        <v>1.8500000000000001</v>
      </c>
      <c r="H89" s="6">
        <v>1.6671899999999999</v>
      </c>
      <c r="L89">
        <v>1</v>
      </c>
    </row>
    <row r="90" hidden="1">
      <c r="A90">
        <v>9</v>
      </c>
      <c r="B90" t="s">
        <v>107</v>
      </c>
      <c r="C90">
        <v>2011</v>
      </c>
      <c r="D90" s="1">
        <v>17360.24209</v>
      </c>
      <c r="E90" s="2" t="s">
        <v>115</v>
      </c>
      <c r="F90" s="5">
        <v>11</v>
      </c>
      <c r="G90" s="6">
        <v>1.8615655205690538</v>
      </c>
      <c r="H90" s="6">
        <v>1.6000000000000001</v>
      </c>
      <c r="L90">
        <v>1</v>
      </c>
    </row>
    <row r="91" hidden="1">
      <c r="A91">
        <v>9</v>
      </c>
      <c r="B91" t="s">
        <v>107</v>
      </c>
      <c r="C91">
        <v>2010</v>
      </c>
      <c r="D91" s="1">
        <v>17188.260259999999</v>
      </c>
      <c r="E91" s="2" t="s">
        <v>116</v>
      </c>
      <c r="F91" s="5">
        <v>11</v>
      </c>
      <c r="G91" s="6">
        <v>2.3627562376453377</v>
      </c>
      <c r="H91" s="6">
        <v>1.7</v>
      </c>
      <c r="L91">
        <v>1</v>
      </c>
    </row>
    <row r="92">
      <c r="A92">
        <v>9</v>
      </c>
      <c r="B92" t="s">
        <v>107</v>
      </c>
      <c r="C92">
        <v>2009</v>
      </c>
      <c r="D92" s="1">
        <v>15597.934020000001</v>
      </c>
      <c r="E92" s="2" t="s">
        <v>117</v>
      </c>
      <c r="F92" s="5">
        <v>11</v>
      </c>
      <c r="G92" s="6">
        <v>2.8170592901734901</v>
      </c>
      <c r="H92" s="6">
        <v>1.7</v>
      </c>
      <c r="L92">
        <v>1</v>
      </c>
    </row>
    <row r="93" hidden="1">
      <c r="A93">
        <v>10</v>
      </c>
      <c r="B93" t="s">
        <v>118</v>
      </c>
      <c r="C93">
        <v>2018</v>
      </c>
      <c r="E93" s="2" t="s">
        <v>119</v>
      </c>
      <c r="F93" s="5">
        <v>136</v>
      </c>
      <c r="G93" s="6">
        <v>2.7000000000000002</v>
      </c>
      <c r="H93" s="6">
        <v>2.2582</v>
      </c>
      <c r="I93" s="1">
        <v>4736.3492489117007</v>
      </c>
      <c r="J93" s="1">
        <v>4054.9525771809604</v>
      </c>
      <c r="K93" s="1">
        <f t="shared" si="2"/>
        <v>681.39667173074031</v>
      </c>
      <c r="L93">
        <v>1</v>
      </c>
    </row>
    <row r="94" hidden="1">
      <c r="A94">
        <v>10</v>
      </c>
      <c r="B94" t="s">
        <v>118</v>
      </c>
      <c r="C94">
        <v>2017</v>
      </c>
      <c r="D94" s="1">
        <v>18635.281620000002</v>
      </c>
      <c r="E94" s="2" t="s">
        <v>120</v>
      </c>
      <c r="F94" s="5">
        <v>136</v>
      </c>
      <c r="G94" s="6">
        <v>2.77</v>
      </c>
      <c r="H94" s="6">
        <v>2.3039999999999998</v>
      </c>
      <c r="I94" s="1">
        <v>4225.9104191102897</v>
      </c>
      <c r="J94" s="1">
        <v>3701.4855408503099</v>
      </c>
      <c r="K94" s="1">
        <f t="shared" si="2"/>
        <v>524.42487825997978</v>
      </c>
      <c r="L94">
        <v>1</v>
      </c>
    </row>
    <row r="95" hidden="1">
      <c r="A95">
        <v>10</v>
      </c>
      <c r="B95" t="s">
        <v>118</v>
      </c>
      <c r="C95">
        <v>2016</v>
      </c>
      <c r="D95" s="1">
        <v>18278.179349999999</v>
      </c>
      <c r="E95" s="2" t="s">
        <v>121</v>
      </c>
      <c r="F95" s="5">
        <v>150</v>
      </c>
      <c r="G95" s="6">
        <v>2.8265087215000002</v>
      </c>
      <c r="H95" s="6">
        <v>2.3999999999999999</v>
      </c>
      <c r="I95" s="1">
        <v>3895.8453134698402</v>
      </c>
      <c r="J95" s="1">
        <v>3386.3202998960301</v>
      </c>
      <c r="K95" s="1">
        <f t="shared" si="2"/>
        <v>509.52501357381016</v>
      </c>
      <c r="L95">
        <v>1</v>
      </c>
    </row>
    <row r="96" hidden="1">
      <c r="A96">
        <v>10</v>
      </c>
      <c r="B96" t="s">
        <v>118</v>
      </c>
      <c r="C96">
        <v>2015</v>
      </c>
      <c r="D96" s="1">
        <v>18127.95995</v>
      </c>
      <c r="E96" s="2" t="s">
        <v>122</v>
      </c>
      <c r="F96" s="5">
        <v>163</v>
      </c>
      <c r="G96" s="6">
        <v>3.004315718</v>
      </c>
      <c r="H96" s="6">
        <v>2.5</v>
      </c>
      <c r="L96">
        <v>1</v>
      </c>
    </row>
    <row r="97" hidden="1">
      <c r="A97">
        <v>10</v>
      </c>
      <c r="B97" t="s">
        <v>118</v>
      </c>
      <c r="C97">
        <v>2014</v>
      </c>
      <c r="D97" s="1">
        <v>18056.594809999999</v>
      </c>
      <c r="E97" s="2" t="s">
        <v>123</v>
      </c>
      <c r="F97" s="5">
        <v>163</v>
      </c>
      <c r="G97" s="6">
        <v>2.8812371274999999</v>
      </c>
      <c r="H97" s="6">
        <v>2.5646599999999999</v>
      </c>
      <c r="L97">
        <v>1</v>
      </c>
    </row>
    <row r="98" hidden="1">
      <c r="A98">
        <v>10</v>
      </c>
      <c r="B98" t="s">
        <v>118</v>
      </c>
      <c r="C98">
        <v>2013</v>
      </c>
      <c r="D98" s="1">
        <v>17454.628700000001</v>
      </c>
      <c r="E98" s="2" t="s">
        <v>124</v>
      </c>
      <c r="F98" s="5">
        <v>164</v>
      </c>
      <c r="G98" s="6">
        <v>2.7449205654000002</v>
      </c>
      <c r="H98" s="6">
        <v>2.50725</v>
      </c>
      <c r="L98">
        <v>1</v>
      </c>
    </row>
    <row r="99" hidden="1">
      <c r="A99">
        <v>10</v>
      </c>
      <c r="B99" t="s">
        <v>118</v>
      </c>
      <c r="C99">
        <v>2012</v>
      </c>
      <c r="D99" s="1">
        <v>16670.020069999999</v>
      </c>
      <c r="E99" s="2" t="s">
        <v>125</v>
      </c>
      <c r="F99" s="5">
        <v>165</v>
      </c>
      <c r="G99" s="6">
        <v>2.3700000000000001</v>
      </c>
      <c r="H99" s="6">
        <v>2.4417900000000001</v>
      </c>
      <c r="L99">
        <v>1</v>
      </c>
    </row>
    <row r="100" hidden="1">
      <c r="A100">
        <v>10</v>
      </c>
      <c r="B100" t="s">
        <v>118</v>
      </c>
      <c r="C100">
        <v>2011</v>
      </c>
      <c r="D100" s="1">
        <v>16590.797920000001</v>
      </c>
      <c r="E100" s="2" t="s">
        <v>126</v>
      </c>
      <c r="F100" s="5">
        <v>167</v>
      </c>
      <c r="G100" s="6">
        <v>2.141455200552437</v>
      </c>
      <c r="H100" s="6">
        <v>2.3999999999999999</v>
      </c>
      <c r="L100">
        <v>1</v>
      </c>
    </row>
    <row r="101" hidden="1">
      <c r="A101">
        <v>10</v>
      </c>
      <c r="B101" t="s">
        <v>118</v>
      </c>
      <c r="C101">
        <v>2010</v>
      </c>
      <c r="D101" s="1">
        <v>16210.29069</v>
      </c>
      <c r="E101" s="2" t="s">
        <v>127</v>
      </c>
      <c r="F101" s="5">
        <v>168</v>
      </c>
      <c r="G101" s="6">
        <v>2.639541494847045</v>
      </c>
      <c r="H101" s="6">
        <v>2.3999999999999999</v>
      </c>
      <c r="L101">
        <v>1</v>
      </c>
    </row>
    <row r="102">
      <c r="A102">
        <v>10</v>
      </c>
      <c r="B102" t="s">
        <v>118</v>
      </c>
      <c r="C102">
        <v>2009</v>
      </c>
      <c r="D102" s="1">
        <v>15647.523880000001</v>
      </c>
      <c r="E102" s="2" t="s">
        <v>128</v>
      </c>
      <c r="F102" s="5">
        <v>168</v>
      </c>
      <c r="G102" s="6">
        <v>3.3416130190196958</v>
      </c>
      <c r="H102" s="6">
        <v>2.3999999999999999</v>
      </c>
      <c r="L102">
        <v>1</v>
      </c>
    </row>
    <row r="103" hidden="1">
      <c r="A103">
        <v>11</v>
      </c>
      <c r="B103" t="s">
        <v>129</v>
      </c>
      <c r="C103">
        <v>2018</v>
      </c>
      <c r="E103" s="2" t="s">
        <v>130</v>
      </c>
      <c r="F103" s="5">
        <v>109</v>
      </c>
      <c r="G103" s="6">
        <v>2.2999999999999998</v>
      </c>
      <c r="H103" s="6">
        <v>3.5783999999999998</v>
      </c>
      <c r="I103" s="1">
        <v>4991.7936564465799</v>
      </c>
      <c r="J103" s="1">
        <v>4648.4251270847499</v>
      </c>
      <c r="K103" s="1">
        <f t="shared" ref="K103:K166" si="3">I103-J103</f>
        <v>343.36852936183004</v>
      </c>
      <c r="L103">
        <v>1</v>
      </c>
    </row>
    <row r="104" hidden="1">
      <c r="A104">
        <v>11</v>
      </c>
      <c r="B104" t="s">
        <v>129</v>
      </c>
      <c r="C104">
        <v>2017</v>
      </c>
      <c r="D104" s="1">
        <v>17702.481919999998</v>
      </c>
      <c r="E104" s="2" t="s">
        <v>131</v>
      </c>
      <c r="F104" s="5">
        <v>109</v>
      </c>
      <c r="G104" s="6">
        <v>2.8199999999999998</v>
      </c>
      <c r="H104" s="6">
        <v>3.6960000000000002</v>
      </c>
      <c r="I104" s="1">
        <v>4639.2812618132202</v>
      </c>
      <c r="J104" s="1">
        <v>4248.8098825914894</v>
      </c>
      <c r="K104" s="1">
        <f t="shared" si="3"/>
        <v>390.47137922173079</v>
      </c>
      <c r="L104">
        <v>1</v>
      </c>
    </row>
    <row r="105" hidden="1">
      <c r="A105">
        <v>11</v>
      </c>
      <c r="B105" t="s">
        <v>129</v>
      </c>
      <c r="C105">
        <v>2016</v>
      </c>
      <c r="D105" s="1">
        <v>17531.899280000001</v>
      </c>
      <c r="E105" s="2" t="s">
        <v>132</v>
      </c>
      <c r="F105" s="5">
        <v>109</v>
      </c>
      <c r="G105" s="6">
        <v>2.9556259577000001</v>
      </c>
      <c r="H105" s="6">
        <v>3.7000000000000002</v>
      </c>
      <c r="I105" s="1">
        <v>4437.0708269840206</v>
      </c>
      <c r="J105" s="1">
        <v>4137.2275162158303</v>
      </c>
      <c r="K105" s="1">
        <f t="shared" si="3"/>
        <v>299.84331076819035</v>
      </c>
      <c r="L105">
        <v>1</v>
      </c>
    </row>
    <row r="106" hidden="1">
      <c r="A106">
        <v>11</v>
      </c>
      <c r="B106" t="s">
        <v>129</v>
      </c>
      <c r="C106">
        <v>2015</v>
      </c>
      <c r="D106" s="1">
        <v>17443.069479999998</v>
      </c>
      <c r="E106" s="2" t="s">
        <v>133</v>
      </c>
      <c r="F106" s="5">
        <v>109</v>
      </c>
      <c r="G106" s="6">
        <v>2.6773365349999998</v>
      </c>
      <c r="H106" s="6">
        <v>3.5</v>
      </c>
      <c r="L106">
        <v>1</v>
      </c>
    </row>
    <row r="107" hidden="1">
      <c r="A107">
        <v>11</v>
      </c>
      <c r="B107" t="s">
        <v>129</v>
      </c>
      <c r="C107">
        <v>2014</v>
      </c>
      <c r="D107" s="1">
        <v>17352.490109999999</v>
      </c>
      <c r="E107" s="2" t="s">
        <v>134</v>
      </c>
      <c r="F107" s="5">
        <v>109</v>
      </c>
      <c r="G107" s="6">
        <v>2.477512779</v>
      </c>
      <c r="H107" s="6">
        <v>3.5962800000000001</v>
      </c>
      <c r="L107">
        <v>1</v>
      </c>
    </row>
    <row r="108" hidden="1">
      <c r="A108">
        <v>11</v>
      </c>
      <c r="B108" t="s">
        <v>129</v>
      </c>
      <c r="C108">
        <v>2013</v>
      </c>
      <c r="D108" s="1">
        <v>16978.233749999999</v>
      </c>
      <c r="E108" s="2" t="s">
        <v>135</v>
      </c>
      <c r="F108" s="5">
        <v>118</v>
      </c>
      <c r="G108" s="6">
        <v>2.7053081217999999</v>
      </c>
      <c r="H108" s="6">
        <v>3.46455</v>
      </c>
      <c r="L108">
        <v>1</v>
      </c>
    </row>
    <row r="109" hidden="1">
      <c r="A109">
        <v>11</v>
      </c>
      <c r="B109" t="s">
        <v>129</v>
      </c>
      <c r="C109">
        <v>2012</v>
      </c>
      <c r="D109" s="1">
        <v>16723.232639999998</v>
      </c>
      <c r="E109" s="2" t="s">
        <v>136</v>
      </c>
      <c r="F109" s="5">
        <v>120</v>
      </c>
      <c r="G109" s="6">
        <v>2.4399999999999999</v>
      </c>
      <c r="H109" s="6">
        <v>3.3094700000000001</v>
      </c>
      <c r="L109">
        <v>1</v>
      </c>
    </row>
    <row r="110" hidden="1">
      <c r="A110">
        <v>11</v>
      </c>
      <c r="B110" t="s">
        <v>129</v>
      </c>
      <c r="C110">
        <v>2011</v>
      </c>
      <c r="D110" s="1">
        <v>16584.83354</v>
      </c>
      <c r="E110" s="2" t="s">
        <v>137</v>
      </c>
      <c r="F110" s="5">
        <v>121</v>
      </c>
      <c r="G110" s="6">
        <v>2.3993337279892284</v>
      </c>
      <c r="H110" s="6">
        <v>3.2000000000000002</v>
      </c>
      <c r="L110">
        <v>1</v>
      </c>
    </row>
    <row r="111" hidden="1">
      <c r="A111">
        <v>11</v>
      </c>
      <c r="B111" t="s">
        <v>129</v>
      </c>
      <c r="C111">
        <v>2010</v>
      </c>
      <c r="D111" s="1">
        <v>16309.956770000001</v>
      </c>
      <c r="E111" s="2" t="s">
        <v>138</v>
      </c>
      <c r="F111" s="5">
        <v>122</v>
      </c>
      <c r="G111" s="6">
        <v>3.4698958804889091</v>
      </c>
      <c r="H111" s="6">
        <v>3.1000000000000001</v>
      </c>
      <c r="L111">
        <v>1</v>
      </c>
    </row>
    <row r="112">
      <c r="A112">
        <v>11</v>
      </c>
      <c r="B112" t="s">
        <v>129</v>
      </c>
      <c r="C112">
        <v>2009</v>
      </c>
      <c r="D112" s="1">
        <v>15754.85101</v>
      </c>
      <c r="E112" s="2" t="s">
        <v>139</v>
      </c>
      <c r="F112" s="5">
        <v>125</v>
      </c>
      <c r="G112" s="6">
        <v>3.8604612039310808</v>
      </c>
      <c r="H112" s="6">
        <v>2.7999999999999998</v>
      </c>
      <c r="L112">
        <v>1</v>
      </c>
    </row>
    <row r="113" hidden="1">
      <c r="A113">
        <v>12</v>
      </c>
      <c r="B113" t="s">
        <v>140</v>
      </c>
      <c r="C113">
        <v>2018</v>
      </c>
      <c r="E113" s="2" t="s">
        <v>141</v>
      </c>
      <c r="F113" s="5">
        <v>3</v>
      </c>
      <c r="G113" s="6">
        <v>3.3999999999999999</v>
      </c>
      <c r="H113" s="6">
        <v>6.2262000000000004</v>
      </c>
      <c r="I113" s="1">
        <v>56815.220321730005</v>
      </c>
      <c r="J113" s="1">
        <v>30340.8501808621</v>
      </c>
      <c r="K113" s="1">
        <f t="shared" si="3"/>
        <v>26474.370140867904</v>
      </c>
      <c r="L113">
        <v>0</v>
      </c>
    </row>
    <row r="114" hidden="1">
      <c r="A114">
        <v>12</v>
      </c>
      <c r="B114" t="s">
        <v>140</v>
      </c>
      <c r="C114">
        <v>2017</v>
      </c>
      <c r="D114" s="1">
        <v>35955.303760000003</v>
      </c>
      <c r="E114" s="2" t="s">
        <v>142</v>
      </c>
      <c r="F114" s="5">
        <v>3</v>
      </c>
      <c r="G114" s="6">
        <v>3.7599999999999998</v>
      </c>
      <c r="H114" s="6">
        <v>6.2560000000000002</v>
      </c>
      <c r="I114" s="1">
        <v>55927.643883789999</v>
      </c>
      <c r="J114" s="1">
        <v>28895.285866811701</v>
      </c>
      <c r="K114" s="1">
        <f t="shared" si="3"/>
        <v>27032.358016978298</v>
      </c>
      <c r="L114">
        <v>0</v>
      </c>
    </row>
    <row r="115" hidden="1">
      <c r="A115">
        <v>12</v>
      </c>
      <c r="B115" t="s">
        <v>140</v>
      </c>
      <c r="C115">
        <v>2016</v>
      </c>
      <c r="D115" s="1">
        <v>33901.016150000003</v>
      </c>
      <c r="E115" s="2" t="s">
        <v>143</v>
      </c>
      <c r="F115" s="5">
        <v>3</v>
      </c>
      <c r="G115" s="6">
        <v>3.8668281751000002</v>
      </c>
      <c r="H115" s="6">
        <v>6.2999999999999998</v>
      </c>
      <c r="I115" s="1">
        <v>52753.611713106999</v>
      </c>
      <c r="J115" s="1">
        <v>26612.774746768799</v>
      </c>
      <c r="K115" s="1">
        <f t="shared" si="3"/>
        <v>26140.8369663382</v>
      </c>
      <c r="L115">
        <v>0</v>
      </c>
    </row>
    <row r="116" hidden="1">
      <c r="A116">
        <v>12</v>
      </c>
      <c r="B116" t="s">
        <v>140</v>
      </c>
      <c r="C116">
        <v>2015</v>
      </c>
      <c r="D116" s="1">
        <v>32855.396180000003</v>
      </c>
      <c r="E116" s="2" t="s">
        <v>144</v>
      </c>
      <c r="F116" s="5">
        <v>3</v>
      </c>
      <c r="G116" s="6">
        <v>3.8494016326999998</v>
      </c>
      <c r="H116" s="6">
        <v>5.9000000000000004</v>
      </c>
      <c r="L116">
        <v>0</v>
      </c>
    </row>
    <row r="117" hidden="1">
      <c r="A117">
        <v>12</v>
      </c>
      <c r="B117" t="s">
        <v>140</v>
      </c>
      <c r="C117">
        <v>2014</v>
      </c>
      <c r="D117" s="1">
        <v>32254.041679999998</v>
      </c>
      <c r="E117" s="2" t="s">
        <v>145</v>
      </c>
      <c r="F117" s="5">
        <v>3</v>
      </c>
      <c r="G117" s="6">
        <v>3.5754887791000001</v>
      </c>
      <c r="H117" s="6">
        <v>5.93445</v>
      </c>
      <c r="L117">
        <v>0</v>
      </c>
    </row>
    <row r="118" hidden="1">
      <c r="A118">
        <v>12</v>
      </c>
      <c r="B118" t="s">
        <v>140</v>
      </c>
      <c r="C118">
        <v>2013</v>
      </c>
      <c r="D118" s="1">
        <v>31800.893759999999</v>
      </c>
      <c r="E118" s="2" t="s">
        <v>146</v>
      </c>
      <c r="F118" s="5">
        <v>3</v>
      </c>
      <c r="G118" s="6">
        <v>3.7257987905999999</v>
      </c>
      <c r="H118" s="6">
        <v>6.0701599999999996</v>
      </c>
      <c r="L118">
        <v>0</v>
      </c>
    </row>
    <row r="119" hidden="1">
      <c r="A119">
        <v>12</v>
      </c>
      <c r="B119" t="s">
        <v>140</v>
      </c>
      <c r="C119">
        <v>2012</v>
      </c>
      <c r="D119" s="1">
        <v>31957.723760000001</v>
      </c>
      <c r="E119" s="2" t="s">
        <v>147</v>
      </c>
      <c r="F119" s="5">
        <v>3</v>
      </c>
      <c r="G119" s="6">
        <v>3.6499999999999999</v>
      </c>
      <c r="H119" s="6">
        <v>5.9950099999999997</v>
      </c>
      <c r="L119">
        <v>0</v>
      </c>
    </row>
    <row r="120" hidden="1">
      <c r="A120">
        <v>12</v>
      </c>
      <c r="B120" t="s">
        <v>140</v>
      </c>
      <c r="C120">
        <v>2011</v>
      </c>
      <c r="D120" s="1">
        <v>31361.93837</v>
      </c>
      <c r="E120" s="2" t="s">
        <v>148</v>
      </c>
      <c r="F120" s="5">
        <v>3</v>
      </c>
      <c r="G120" s="6">
        <v>3.652158347334765</v>
      </c>
      <c r="H120" s="6">
        <v>5.9000000000000004</v>
      </c>
      <c r="L120">
        <v>0</v>
      </c>
    </row>
    <row r="121" hidden="1">
      <c r="A121">
        <v>12</v>
      </c>
      <c r="B121" t="s">
        <v>140</v>
      </c>
      <c r="C121">
        <v>2010</v>
      </c>
      <c r="D121" s="1">
        <v>30636.65106</v>
      </c>
      <c r="E121" s="2" t="s">
        <v>149</v>
      </c>
      <c r="F121" s="5">
        <v>3</v>
      </c>
      <c r="G121" s="6">
        <v>4.1761486491276569</v>
      </c>
      <c r="H121" s="6">
        <v>5.5999999999999996</v>
      </c>
      <c r="L121">
        <v>0</v>
      </c>
    </row>
    <row r="122">
      <c r="A122">
        <v>12</v>
      </c>
      <c r="B122" t="s">
        <v>140</v>
      </c>
      <c r="C122">
        <v>2009</v>
      </c>
      <c r="D122" s="1">
        <v>30213.910479999999</v>
      </c>
      <c r="E122" s="2" t="s">
        <v>150</v>
      </c>
      <c r="F122" s="5">
        <v>3</v>
      </c>
      <c r="G122" s="6">
        <v>3.797076693328969</v>
      </c>
      <c r="H122" s="6">
        <v>6</v>
      </c>
      <c r="L122">
        <v>0</v>
      </c>
    </row>
    <row r="123" hidden="1">
      <c r="A123">
        <v>13</v>
      </c>
      <c r="B123" t="s">
        <v>151</v>
      </c>
      <c r="C123">
        <v>2018</v>
      </c>
      <c r="E123" s="2" t="s">
        <v>152</v>
      </c>
      <c r="F123" s="5">
        <v>86</v>
      </c>
      <c r="G123" s="6">
        <v>2.2999999999999998</v>
      </c>
      <c r="H123" s="6">
        <v>2.9823</v>
      </c>
      <c r="I123" s="1">
        <v>6761.29384341488</v>
      </c>
      <c r="J123" s="1">
        <v>6651.1424604816002</v>
      </c>
      <c r="K123" s="1">
        <f t="shared" si="3"/>
        <v>110.15138293327982</v>
      </c>
      <c r="L123">
        <v>1</v>
      </c>
    </row>
    <row r="124" hidden="1">
      <c r="A124">
        <v>13</v>
      </c>
      <c r="B124" t="s">
        <v>151</v>
      </c>
      <c r="C124">
        <v>2017</v>
      </c>
      <c r="D124" s="1">
        <v>20347.489430000001</v>
      </c>
      <c r="E124" s="2" t="s">
        <v>153</v>
      </c>
      <c r="F124" s="5">
        <v>86</v>
      </c>
      <c r="G124" s="6">
        <v>2.9100000000000001</v>
      </c>
      <c r="H124" s="6">
        <v>3.0139999999999998</v>
      </c>
      <c r="I124" s="1">
        <v>6370.8835019933204</v>
      </c>
      <c r="J124" s="1">
        <v>5852.3554200038297</v>
      </c>
      <c r="K124" s="1">
        <f t="shared" si="3"/>
        <v>518.5280819894906</v>
      </c>
      <c r="L124">
        <v>1</v>
      </c>
    </row>
    <row r="125" hidden="1">
      <c r="A125">
        <v>13</v>
      </c>
      <c r="B125" t="s">
        <v>151</v>
      </c>
      <c r="C125">
        <v>2016</v>
      </c>
      <c r="D125" s="1">
        <v>19643.82346</v>
      </c>
      <c r="E125" s="2" t="s">
        <v>154</v>
      </c>
      <c r="F125" s="5">
        <v>86</v>
      </c>
      <c r="G125" s="6">
        <v>3.0051268055000002</v>
      </c>
      <c r="H125" s="6">
        <v>2.8999999999999999</v>
      </c>
      <c r="I125" s="1">
        <v>5990.9974680553596</v>
      </c>
      <c r="J125" s="1">
        <v>5402.1805667438493</v>
      </c>
      <c r="K125" s="1">
        <f t="shared" si="3"/>
        <v>588.81690131151026</v>
      </c>
      <c r="L125">
        <v>1</v>
      </c>
    </row>
    <row r="126" hidden="1">
      <c r="A126">
        <v>13</v>
      </c>
      <c r="B126" t="s">
        <v>151</v>
      </c>
      <c r="C126">
        <v>2015</v>
      </c>
      <c r="D126" s="1">
        <v>19635.792119999998</v>
      </c>
      <c r="E126" s="2" t="s">
        <v>155</v>
      </c>
      <c r="F126" s="5">
        <v>86</v>
      </c>
      <c r="G126" s="6">
        <v>2.769363475</v>
      </c>
      <c r="H126" s="6">
        <v>2.7999999999999998</v>
      </c>
      <c r="L126">
        <v>1</v>
      </c>
    </row>
    <row r="127" hidden="1">
      <c r="A127">
        <v>13</v>
      </c>
      <c r="B127" t="s">
        <v>151</v>
      </c>
      <c r="C127">
        <v>2014</v>
      </c>
      <c r="D127" s="1">
        <v>19412.130560000001</v>
      </c>
      <c r="E127" s="2" t="s">
        <v>156</v>
      </c>
      <c r="F127" s="5">
        <v>86</v>
      </c>
      <c r="G127" s="6">
        <v>2.6885596156</v>
      </c>
      <c r="H127" s="6">
        <v>2.71733</v>
      </c>
      <c r="L127">
        <v>1</v>
      </c>
    </row>
    <row r="128" hidden="1">
      <c r="A128">
        <v>13</v>
      </c>
      <c r="B128" t="s">
        <v>151</v>
      </c>
      <c r="C128">
        <v>2013</v>
      </c>
      <c r="D128" s="1">
        <v>18816.867900000001</v>
      </c>
      <c r="E128" s="2" t="s">
        <v>157</v>
      </c>
      <c r="F128" s="5">
        <v>86</v>
      </c>
      <c r="G128" s="6">
        <v>2.6972391627999999</v>
      </c>
      <c r="H128" s="6">
        <v>2.6032700000000002</v>
      </c>
      <c r="L128">
        <v>1</v>
      </c>
    </row>
    <row r="129" hidden="1">
      <c r="A129">
        <v>13</v>
      </c>
      <c r="B129" t="s">
        <v>151</v>
      </c>
      <c r="C129">
        <v>2012</v>
      </c>
      <c r="D129" s="1">
        <v>18618.27536</v>
      </c>
      <c r="E129" s="2" t="s">
        <v>158</v>
      </c>
      <c r="F129" s="5">
        <v>86</v>
      </c>
      <c r="G129" s="6">
        <v>2.7200000000000002</v>
      </c>
      <c r="H129" s="6">
        <v>2.4978199999999999</v>
      </c>
      <c r="L129">
        <v>1</v>
      </c>
    </row>
    <row r="130" hidden="1">
      <c r="A130">
        <v>13</v>
      </c>
      <c r="B130" t="s">
        <v>151</v>
      </c>
      <c r="C130">
        <v>2011</v>
      </c>
      <c r="D130" s="1">
        <v>18752.36118</v>
      </c>
      <c r="E130" s="2" t="s">
        <v>159</v>
      </c>
      <c r="F130" s="5">
        <v>86</v>
      </c>
      <c r="G130" s="6">
        <v>2.7368175984918173</v>
      </c>
      <c r="H130" s="6">
        <v>2.2999999999999998</v>
      </c>
      <c r="L130">
        <v>1</v>
      </c>
    </row>
    <row r="131" hidden="1">
      <c r="A131">
        <v>13</v>
      </c>
      <c r="B131" t="s">
        <v>151</v>
      </c>
      <c r="C131">
        <v>2010</v>
      </c>
      <c r="D131" s="1">
        <v>18439.603220000001</v>
      </c>
      <c r="E131" s="2" t="s">
        <v>160</v>
      </c>
      <c r="F131" s="5">
        <v>86</v>
      </c>
      <c r="G131" s="6">
        <v>3.3231122165059679</v>
      </c>
      <c r="H131" s="6">
        <v>2.2999999999999998</v>
      </c>
      <c r="L131">
        <v>1</v>
      </c>
    </row>
    <row r="132">
      <c r="A132">
        <v>13</v>
      </c>
      <c r="B132" t="s">
        <v>151</v>
      </c>
      <c r="C132">
        <v>2009</v>
      </c>
      <c r="D132" s="1">
        <v>17787.509709999998</v>
      </c>
      <c r="E132" s="2" t="s">
        <v>161</v>
      </c>
      <c r="F132" s="5">
        <v>86</v>
      </c>
      <c r="G132" s="6">
        <v>3.3431606886588239</v>
      </c>
      <c r="H132" s="6">
        <v>2.2999999999999998</v>
      </c>
      <c r="L132">
        <v>1</v>
      </c>
    </row>
    <row r="133" hidden="1">
      <c r="A133">
        <v>14</v>
      </c>
      <c r="B133" t="s">
        <v>162</v>
      </c>
      <c r="C133">
        <v>2018</v>
      </c>
      <c r="E133" s="2" t="s">
        <v>163</v>
      </c>
      <c r="F133" s="5">
        <v>26</v>
      </c>
      <c r="G133" s="6">
        <v>3.1000000000000001</v>
      </c>
      <c r="H133" s="6">
        <v>2.7423999999999999</v>
      </c>
      <c r="I133" s="1">
        <v>3354.9059497118001</v>
      </c>
      <c r="J133" s="1">
        <v>2800.0328719305703</v>
      </c>
      <c r="K133" s="1">
        <f t="shared" si="3"/>
        <v>554.87307778122977</v>
      </c>
      <c r="L133">
        <v>1</v>
      </c>
    </row>
    <row r="134" hidden="1">
      <c r="A134">
        <v>14</v>
      </c>
      <c r="B134" t="s">
        <v>162</v>
      </c>
      <c r="C134">
        <v>2017</v>
      </c>
      <c r="D134" s="1">
        <v>6962.6756999999998</v>
      </c>
      <c r="E134" s="2" t="s">
        <v>164</v>
      </c>
      <c r="F134" s="5">
        <v>26</v>
      </c>
      <c r="G134" s="6">
        <v>3.2200000000000002</v>
      </c>
      <c r="H134" s="6">
        <v>2.7130000000000001</v>
      </c>
      <c r="I134" s="1">
        <v>3300.6346061684799</v>
      </c>
      <c r="J134" s="1">
        <v>2593.6523223286999</v>
      </c>
      <c r="K134" s="1">
        <f t="shared" si="3"/>
        <v>706.98228383977994</v>
      </c>
      <c r="L134">
        <v>1</v>
      </c>
    </row>
    <row r="135" hidden="1">
      <c r="A135">
        <v>14</v>
      </c>
      <c r="B135" t="s">
        <v>162</v>
      </c>
      <c r="C135">
        <v>2016</v>
      </c>
      <c r="D135" s="1">
        <v>6978.7108600000001</v>
      </c>
      <c r="E135" s="2" t="s">
        <v>165</v>
      </c>
      <c r="F135" s="5">
        <v>26</v>
      </c>
      <c r="G135" s="6">
        <v>3.3006402337999998</v>
      </c>
      <c r="H135" s="6">
        <v>2.6000000000000001</v>
      </c>
      <c r="I135" s="1">
        <v>2554.2827847272101</v>
      </c>
      <c r="J135" s="1">
        <v>2205.8749155446299</v>
      </c>
      <c r="K135" s="1">
        <f t="shared" si="3"/>
        <v>348.40786918258027</v>
      </c>
      <c r="L135">
        <v>1</v>
      </c>
    </row>
    <row r="136" hidden="1">
      <c r="A136">
        <v>14</v>
      </c>
      <c r="B136" t="s">
        <v>162</v>
      </c>
      <c r="C136">
        <v>2015</v>
      </c>
      <c r="D136" s="1">
        <v>6834.5327399999996</v>
      </c>
      <c r="E136" s="2" t="s">
        <v>166</v>
      </c>
      <c r="F136" s="5">
        <v>26</v>
      </c>
      <c r="G136" s="6">
        <v>3.3627279711</v>
      </c>
      <c r="H136" s="6">
        <v>2.6000000000000001</v>
      </c>
      <c r="L136">
        <v>1</v>
      </c>
    </row>
    <row r="137" hidden="1">
      <c r="A137">
        <v>14</v>
      </c>
      <c r="B137" t="s">
        <v>162</v>
      </c>
      <c r="C137">
        <v>2014</v>
      </c>
      <c r="D137" s="1">
        <v>6860.4360800000004</v>
      </c>
      <c r="E137" s="2" t="s">
        <v>167</v>
      </c>
      <c r="F137" s="5">
        <v>26</v>
      </c>
      <c r="G137" s="6">
        <v>3.0141780728000001</v>
      </c>
      <c r="H137" s="6">
        <v>2.4459599999999999</v>
      </c>
      <c r="L137">
        <v>1</v>
      </c>
    </row>
    <row r="138" hidden="1">
      <c r="A138">
        <v>14</v>
      </c>
      <c r="B138" t="s">
        <v>162</v>
      </c>
      <c r="C138">
        <v>2013</v>
      </c>
      <c r="D138" s="1">
        <v>6832.5262400000001</v>
      </c>
      <c r="E138" s="2" t="s">
        <v>168</v>
      </c>
      <c r="F138" s="5">
        <v>26</v>
      </c>
      <c r="G138" s="6">
        <v>2.7534895233999999</v>
      </c>
      <c r="H138" s="6">
        <v>2.40523</v>
      </c>
      <c r="L138">
        <v>1</v>
      </c>
    </row>
    <row r="139" hidden="1">
      <c r="A139">
        <v>14</v>
      </c>
      <c r="B139" t="s">
        <v>162</v>
      </c>
      <c r="C139">
        <v>2012</v>
      </c>
      <c r="D139" s="1">
        <v>6754.1548899999998</v>
      </c>
      <c r="E139" s="2" t="s">
        <v>169</v>
      </c>
      <c r="F139" s="5">
        <v>27</v>
      </c>
      <c r="G139" s="6">
        <v>2.5299999999999998</v>
      </c>
      <c r="H139" s="6">
        <v>2.3243800000000001</v>
      </c>
      <c r="L139">
        <v>1</v>
      </c>
    </row>
    <row r="140" hidden="1">
      <c r="A140">
        <v>14</v>
      </c>
      <c r="B140" t="s">
        <v>162</v>
      </c>
      <c r="C140">
        <v>2011</v>
      </c>
      <c r="D140" s="1">
        <v>6697.3951500000003</v>
      </c>
      <c r="E140" s="2" t="s">
        <v>170</v>
      </c>
      <c r="F140" s="5">
        <v>27</v>
      </c>
      <c r="G140" s="6">
        <v>2.2268669349686983</v>
      </c>
      <c r="H140" s="6">
        <v>2.2999999999999998</v>
      </c>
      <c r="L140">
        <v>1</v>
      </c>
    </row>
    <row r="141" hidden="1">
      <c r="A141">
        <v>14</v>
      </c>
      <c r="B141" t="s">
        <v>162</v>
      </c>
      <c r="C141">
        <v>2010</v>
      </c>
      <c r="D141" s="1">
        <v>6577.6768199999997</v>
      </c>
      <c r="E141" s="2" t="s">
        <v>171</v>
      </c>
      <c r="F141" s="5">
        <v>27</v>
      </c>
      <c r="G141" s="6">
        <v>3.0285789574549637</v>
      </c>
      <c r="H141" s="6">
        <v>2.2000000000000002</v>
      </c>
      <c r="L141">
        <v>1</v>
      </c>
    </row>
    <row r="142">
      <c r="A142">
        <v>14</v>
      </c>
      <c r="B142" t="s">
        <v>162</v>
      </c>
      <c r="C142">
        <v>2009</v>
      </c>
      <c r="D142" s="1">
        <v>6070.2927600000003</v>
      </c>
      <c r="E142" s="2" t="s">
        <v>172</v>
      </c>
      <c r="F142" s="5">
        <v>27</v>
      </c>
      <c r="G142" s="6">
        <v>3.2744962313490231</v>
      </c>
      <c r="H142" s="6">
        <v>2.1000000000000001</v>
      </c>
      <c r="L142">
        <v>1</v>
      </c>
    </row>
    <row r="143" hidden="1">
      <c r="A143">
        <v>15</v>
      </c>
      <c r="B143" t="s">
        <v>173</v>
      </c>
      <c r="C143">
        <v>2018</v>
      </c>
      <c r="E143" s="2" t="s">
        <v>174</v>
      </c>
      <c r="F143" s="5">
        <v>20</v>
      </c>
      <c r="G143" s="6">
        <v>1.5</v>
      </c>
      <c r="H143" s="6">
        <v>2.3197999999999999</v>
      </c>
      <c r="I143" s="1">
        <v>965.17717359251196</v>
      </c>
      <c r="J143" s="1">
        <v>542.21839145604508</v>
      </c>
      <c r="K143" s="1">
        <f t="shared" si="3"/>
        <v>422.95878213646688</v>
      </c>
      <c r="L143">
        <v>1</v>
      </c>
    </row>
    <row r="144" hidden="1">
      <c r="A144">
        <v>15</v>
      </c>
      <c r="B144" t="s">
        <v>173</v>
      </c>
      <c r="C144">
        <v>2017</v>
      </c>
      <c r="D144" s="1">
        <v>3085.8009699999998</v>
      </c>
      <c r="E144" s="2" t="s">
        <v>175</v>
      </c>
      <c r="F144" s="5">
        <v>20</v>
      </c>
      <c r="G144" s="6">
        <v>1.77</v>
      </c>
      <c r="H144" s="6">
        <v>2.2759999999999998</v>
      </c>
      <c r="I144" s="1">
        <v>921.35559265375196</v>
      </c>
      <c r="J144" s="1">
        <v>506.211186283291</v>
      </c>
      <c r="K144" s="1">
        <f t="shared" si="3"/>
        <v>415.14440637046096</v>
      </c>
      <c r="L144">
        <v>1</v>
      </c>
    </row>
    <row r="145" hidden="1">
      <c r="A145">
        <v>15</v>
      </c>
      <c r="B145" t="s">
        <v>173</v>
      </c>
      <c r="C145">
        <v>2016</v>
      </c>
      <c r="D145" s="1">
        <v>3078.9877499999998</v>
      </c>
      <c r="E145" s="2" t="s">
        <v>176</v>
      </c>
      <c r="F145" s="5">
        <v>20</v>
      </c>
      <c r="G145" s="6">
        <v>1.8224968056999999</v>
      </c>
      <c r="H145" s="6">
        <v>2.2000000000000002</v>
      </c>
      <c r="I145" s="1">
        <v>980.00316527971597</v>
      </c>
      <c r="J145" s="1">
        <v>471.77131530402602</v>
      </c>
      <c r="K145" s="1">
        <f t="shared" si="3"/>
        <v>508.23184997568995</v>
      </c>
      <c r="L145">
        <v>1</v>
      </c>
    </row>
    <row r="146" hidden="1">
      <c r="A146">
        <v>15</v>
      </c>
      <c r="B146" t="s">
        <v>173</v>
      </c>
      <c r="C146">
        <v>2015</v>
      </c>
      <c r="D146" s="1">
        <v>3044.4680400000002</v>
      </c>
      <c r="E146" s="2" t="s">
        <v>177</v>
      </c>
      <c r="F146" s="5">
        <v>20</v>
      </c>
      <c r="G146" s="6">
        <v>1.9331863196000001</v>
      </c>
      <c r="H146" s="6">
        <v>2</v>
      </c>
      <c r="L146">
        <v>1</v>
      </c>
    </row>
    <row r="147" hidden="1">
      <c r="A147">
        <v>15</v>
      </c>
      <c r="B147" t="s">
        <v>173</v>
      </c>
      <c r="C147">
        <v>2014</v>
      </c>
      <c r="D147" s="1">
        <v>3067.68658</v>
      </c>
      <c r="E147" s="2" t="s">
        <v>178</v>
      </c>
      <c r="F147" s="5">
        <v>20</v>
      </c>
      <c r="G147" s="6">
        <v>1.808473744</v>
      </c>
      <c r="H147" s="6">
        <v>2.0851000000000002</v>
      </c>
      <c r="L147">
        <v>1</v>
      </c>
    </row>
    <row r="148" hidden="1">
      <c r="A148">
        <v>15</v>
      </c>
      <c r="B148" t="s">
        <v>173</v>
      </c>
      <c r="C148">
        <v>2013</v>
      </c>
      <c r="D148" s="1">
        <v>3012.6244799999999</v>
      </c>
      <c r="E148" s="2" t="s">
        <v>179</v>
      </c>
      <c r="F148" s="5">
        <v>20</v>
      </c>
      <c r="G148" s="6">
        <v>1.7038256188000001</v>
      </c>
      <c r="H148" s="6">
        <v>1.99109</v>
      </c>
      <c r="L148">
        <v>1</v>
      </c>
    </row>
    <row r="149" hidden="1">
      <c r="A149">
        <v>15</v>
      </c>
      <c r="B149" t="s">
        <v>173</v>
      </c>
      <c r="C149">
        <v>2012</v>
      </c>
      <c r="D149" s="1">
        <v>2922.3413500000001</v>
      </c>
      <c r="E149" s="2" t="s">
        <v>180</v>
      </c>
      <c r="F149" s="5">
        <v>20</v>
      </c>
      <c r="G149" s="6">
        <v>1.52</v>
      </c>
      <c r="H149" s="6">
        <v>1.9169799999999999</v>
      </c>
      <c r="L149">
        <v>1</v>
      </c>
    </row>
    <row r="150" hidden="1">
      <c r="A150">
        <v>15</v>
      </c>
      <c r="B150" t="s">
        <v>173</v>
      </c>
      <c r="C150">
        <v>2011</v>
      </c>
      <c r="D150" s="1">
        <v>2929.4995600000002</v>
      </c>
      <c r="E150" s="2" t="s">
        <v>181</v>
      </c>
      <c r="F150" s="5">
        <v>20</v>
      </c>
      <c r="G150" s="6">
        <v>1.4001063300303151</v>
      </c>
      <c r="H150" s="6">
        <v>1.8</v>
      </c>
      <c r="L150">
        <v>1</v>
      </c>
    </row>
    <row r="151" hidden="1">
      <c r="A151">
        <v>15</v>
      </c>
      <c r="B151" t="s">
        <v>173</v>
      </c>
      <c r="C151">
        <v>2010</v>
      </c>
      <c r="D151" s="1">
        <v>2876.0205999999998</v>
      </c>
      <c r="E151" s="2" t="s">
        <v>182</v>
      </c>
      <c r="F151" s="5">
        <v>20</v>
      </c>
      <c r="G151" s="6">
        <v>1.8884892086330936</v>
      </c>
      <c r="H151" s="6">
        <v>1.7</v>
      </c>
      <c r="L151">
        <v>1</v>
      </c>
    </row>
    <row r="152">
      <c r="A152">
        <v>15</v>
      </c>
      <c r="B152" t="s">
        <v>173</v>
      </c>
      <c r="C152">
        <v>2009</v>
      </c>
      <c r="D152" s="1">
        <v>2742.3864600000002</v>
      </c>
      <c r="E152" s="2" t="s">
        <v>183</v>
      </c>
      <c r="F152" s="5">
        <v>20</v>
      </c>
      <c r="G152" s="6">
        <v>2.1218561813673396</v>
      </c>
      <c r="H152" s="6">
        <v>1.6000000000000001</v>
      </c>
      <c r="L152">
        <v>1</v>
      </c>
    </row>
    <row r="153" hidden="1">
      <c r="A153">
        <v>16</v>
      </c>
      <c r="B153" t="s">
        <v>184</v>
      </c>
      <c r="C153">
        <v>2018</v>
      </c>
      <c r="E153" s="2" t="s">
        <v>185</v>
      </c>
      <c r="F153" s="5">
        <v>6</v>
      </c>
      <c r="G153" s="6">
        <v>1</v>
      </c>
      <c r="H153" s="6">
        <v>0.99970000000000003</v>
      </c>
      <c r="I153" s="1">
        <v>134.06497687926299</v>
      </c>
      <c r="J153" s="1">
        <v>201.95463487075202</v>
      </c>
      <c r="K153" s="1">
        <f t="shared" si="3"/>
        <v>-67.889657991489031</v>
      </c>
      <c r="L153">
        <v>0</v>
      </c>
    </row>
    <row r="154" hidden="1">
      <c r="A154">
        <v>16</v>
      </c>
      <c r="B154" t="s">
        <v>184</v>
      </c>
      <c r="C154">
        <v>2017</v>
      </c>
      <c r="D154" s="1">
        <v>989.45111999999995</v>
      </c>
      <c r="E154" s="2" t="s">
        <v>186</v>
      </c>
      <c r="F154" s="5">
        <v>6</v>
      </c>
      <c r="G154" s="6">
        <v>0.93999999999999995</v>
      </c>
      <c r="H154" s="6">
        <v>1.0249999999999999</v>
      </c>
      <c r="I154" s="1">
        <v>114.38099341453</v>
      </c>
      <c r="J154" s="1">
        <v>179.691634555452</v>
      </c>
      <c r="K154" s="1">
        <f t="shared" si="3"/>
        <v>-65.310641140922002</v>
      </c>
      <c r="L154">
        <v>0</v>
      </c>
    </row>
    <row r="155" hidden="1">
      <c r="A155">
        <v>16</v>
      </c>
      <c r="B155" t="s">
        <v>184</v>
      </c>
      <c r="C155">
        <v>2016</v>
      </c>
      <c r="D155" s="1">
        <v>989.38906999999995</v>
      </c>
      <c r="E155" s="2" t="s">
        <v>187</v>
      </c>
      <c r="F155" s="5">
        <v>6</v>
      </c>
      <c r="G155" s="6">
        <v>1.0892678525999999</v>
      </c>
      <c r="H155" s="6">
        <v>0.80000000000000004</v>
      </c>
      <c r="I155" s="1">
        <v>119.863422297599</v>
      </c>
      <c r="J155" s="1">
        <v>167.728024445296</v>
      </c>
      <c r="K155" s="1">
        <f t="shared" si="3"/>
        <v>-47.864602147696999</v>
      </c>
      <c r="L155">
        <v>0</v>
      </c>
    </row>
    <row r="156" hidden="1">
      <c r="A156">
        <v>16</v>
      </c>
      <c r="B156" t="s">
        <v>184</v>
      </c>
      <c r="C156">
        <v>2015</v>
      </c>
      <c r="D156" s="1">
        <v>974.76319000000001</v>
      </c>
      <c r="E156" s="2" t="s">
        <v>188</v>
      </c>
      <c r="F156" s="5">
        <v>6</v>
      </c>
      <c r="G156" s="6">
        <v>1.0801983309000001</v>
      </c>
      <c r="H156" s="6">
        <v>0.80000000000000004</v>
      </c>
      <c r="L156">
        <v>0</v>
      </c>
    </row>
    <row r="157" hidden="1">
      <c r="A157">
        <v>16</v>
      </c>
      <c r="B157" t="s">
        <v>184</v>
      </c>
      <c r="C157">
        <v>2014</v>
      </c>
      <c r="D157" s="1">
        <v>968.33051</v>
      </c>
      <c r="E157" s="2" t="s">
        <v>189</v>
      </c>
      <c r="F157" s="5">
        <v>6</v>
      </c>
      <c r="G157" s="6">
        <v>1.1317289444</v>
      </c>
      <c r="H157" s="6">
        <v>0.79224000000000006</v>
      </c>
      <c r="L157">
        <v>0</v>
      </c>
    </row>
    <row r="158" hidden="1">
      <c r="A158">
        <v>16</v>
      </c>
      <c r="B158" t="s">
        <v>184</v>
      </c>
      <c r="C158">
        <v>2013</v>
      </c>
      <c r="D158" s="1">
        <v>933.83046999999999</v>
      </c>
      <c r="E158" s="2" t="s">
        <v>190</v>
      </c>
      <c r="F158" s="5">
        <v>6</v>
      </c>
      <c r="G158" s="6">
        <v>1.4204876910999999</v>
      </c>
      <c r="H158" s="6">
        <v>1.1070800000000001</v>
      </c>
      <c r="L158">
        <v>0</v>
      </c>
    </row>
    <row r="159" hidden="1">
      <c r="A159">
        <v>16</v>
      </c>
      <c r="B159" t="s">
        <v>184</v>
      </c>
      <c r="C159">
        <v>2012</v>
      </c>
      <c r="D159" s="1">
        <v>906.98315000000002</v>
      </c>
      <c r="E159" s="2" t="s">
        <v>191</v>
      </c>
      <c r="F159" s="5">
        <v>6</v>
      </c>
      <c r="G159" s="6">
        <v>1.21</v>
      </c>
      <c r="H159" s="6">
        <v>1.14337</v>
      </c>
      <c r="L159">
        <v>0</v>
      </c>
    </row>
    <row r="160" hidden="1">
      <c r="A160">
        <v>16</v>
      </c>
      <c r="B160" t="s">
        <v>184</v>
      </c>
      <c r="C160">
        <v>2011</v>
      </c>
      <c r="D160" s="1">
        <v>903.75548000000003</v>
      </c>
      <c r="E160" s="2" t="s">
        <v>192</v>
      </c>
      <c r="F160" s="5">
        <v>6</v>
      </c>
      <c r="G160" s="6">
        <v>0.84295881460739708</v>
      </c>
      <c r="H160" s="6">
        <v>0.90000000000000002</v>
      </c>
      <c r="L160">
        <v>0</v>
      </c>
    </row>
    <row r="161" hidden="1">
      <c r="A161">
        <v>16</v>
      </c>
      <c r="B161" t="s">
        <v>184</v>
      </c>
      <c r="C161">
        <v>2010</v>
      </c>
      <c r="D161" s="1">
        <v>882.14313000000004</v>
      </c>
      <c r="E161" s="2" t="s">
        <v>193</v>
      </c>
      <c r="F161" s="5">
        <v>6</v>
      </c>
      <c r="G161" s="6">
        <v>1.0403297942674914</v>
      </c>
      <c r="H161" s="6">
        <v>1.1000000000000001</v>
      </c>
      <c r="L161">
        <v>0</v>
      </c>
    </row>
    <row r="162">
      <c r="A162">
        <v>16</v>
      </c>
      <c r="B162" t="s">
        <v>184</v>
      </c>
      <c r="C162">
        <v>2009</v>
      </c>
      <c r="D162" s="1">
        <v>817.74905999999999</v>
      </c>
      <c r="E162" s="2" t="s">
        <v>194</v>
      </c>
      <c r="F162" s="5">
        <v>6</v>
      </c>
      <c r="G162" s="6">
        <v>1.3370646766169152</v>
      </c>
      <c r="H162" s="6">
        <v>1.3</v>
      </c>
      <c r="L162">
        <v>0</v>
      </c>
    </row>
    <row r="163" hidden="1">
      <c r="A163">
        <v>17</v>
      </c>
      <c r="B163" t="s">
        <v>195</v>
      </c>
      <c r="C163">
        <v>2018</v>
      </c>
      <c r="E163" s="2" t="s">
        <v>196</v>
      </c>
      <c r="F163" s="5">
        <v>77</v>
      </c>
      <c r="G163" s="6">
        <v>2</v>
      </c>
      <c r="H163" s="6">
        <v>2.1678999999999999</v>
      </c>
      <c r="I163" s="1">
        <v>10530.5558520831</v>
      </c>
      <c r="J163" s="1">
        <v>8737.85342380564</v>
      </c>
      <c r="K163" s="1">
        <f t="shared" si="3"/>
        <v>1792.7024282774601</v>
      </c>
      <c r="L163">
        <v>1</v>
      </c>
    </row>
    <row r="164" hidden="1">
      <c r="A164">
        <v>17</v>
      </c>
      <c r="B164" t="s">
        <v>195</v>
      </c>
      <c r="C164">
        <v>2017</v>
      </c>
      <c r="D164" s="1">
        <v>36793.737630000003</v>
      </c>
      <c r="E164" s="2" t="s">
        <v>197</v>
      </c>
      <c r="F164" s="5">
        <v>77</v>
      </c>
      <c r="G164" s="6">
        <v>2.3700000000000001</v>
      </c>
      <c r="H164" s="6">
        <v>2.2410000000000001</v>
      </c>
      <c r="I164" s="1">
        <v>10423.9049970495</v>
      </c>
      <c r="J164" s="1">
        <v>8161.2022623237699</v>
      </c>
      <c r="K164" s="1">
        <f t="shared" si="3"/>
        <v>2262.7027347257299</v>
      </c>
      <c r="L164">
        <v>1</v>
      </c>
    </row>
    <row r="165" hidden="1">
      <c r="A165">
        <v>17</v>
      </c>
      <c r="B165" t="s">
        <v>195</v>
      </c>
      <c r="C165">
        <v>2016</v>
      </c>
      <c r="D165" s="1">
        <v>36414.537649999998</v>
      </c>
      <c r="E165" s="2" t="s">
        <v>198</v>
      </c>
      <c r="F165" s="5">
        <v>77</v>
      </c>
      <c r="G165" s="6">
        <v>2.5170903665000002</v>
      </c>
      <c r="H165" s="6">
        <v>2.2000000000000002</v>
      </c>
      <c r="I165" s="1">
        <v>9655.0274646731395</v>
      </c>
      <c r="J165" s="1">
        <v>7652.32434088235</v>
      </c>
      <c r="K165" s="1">
        <f t="shared" si="3"/>
        <v>2002.7031237907895</v>
      </c>
      <c r="L165">
        <v>1</v>
      </c>
    </row>
    <row r="166" hidden="1">
      <c r="A166">
        <v>17</v>
      </c>
      <c r="B166" t="s">
        <v>195</v>
      </c>
      <c r="C166">
        <v>2015</v>
      </c>
      <c r="D166" s="1">
        <v>35896.256079999999</v>
      </c>
      <c r="E166" s="2" t="s">
        <v>199</v>
      </c>
      <c r="F166" s="5">
        <v>77</v>
      </c>
      <c r="G166" s="6">
        <v>2.4246539555000002</v>
      </c>
      <c r="H166" s="6">
        <v>2.2000000000000002</v>
      </c>
      <c r="L166">
        <v>1</v>
      </c>
    </row>
    <row r="167" hidden="1">
      <c r="A167">
        <v>17</v>
      </c>
      <c r="B167" t="s">
        <v>195</v>
      </c>
      <c r="C167">
        <v>2014</v>
      </c>
      <c r="D167" s="1">
        <v>36149.887390000004</v>
      </c>
      <c r="E167" s="2" t="s">
        <v>200</v>
      </c>
      <c r="F167" s="5">
        <v>77</v>
      </c>
      <c r="G167" s="6">
        <v>2.2934700717999998</v>
      </c>
      <c r="H167" s="6">
        <v>2.2073299999999998</v>
      </c>
      <c r="L167">
        <v>1</v>
      </c>
    </row>
    <row r="168" hidden="1">
      <c r="A168">
        <v>17</v>
      </c>
      <c r="B168" t="s">
        <v>195</v>
      </c>
      <c r="C168">
        <v>2013</v>
      </c>
      <c r="D168" s="1">
        <v>35437.525690000002</v>
      </c>
      <c r="E168" s="2" t="s">
        <v>201</v>
      </c>
      <c r="F168" s="5">
        <v>77</v>
      </c>
      <c r="G168" s="6">
        <v>2.4298966899000001</v>
      </c>
      <c r="H168" s="6">
        <v>2.2149200000000002</v>
      </c>
      <c r="L168">
        <v>1</v>
      </c>
    </row>
    <row r="169" hidden="1">
      <c r="A169">
        <v>17</v>
      </c>
      <c r="B169" t="s">
        <v>195</v>
      </c>
      <c r="C169">
        <v>2012</v>
      </c>
      <c r="D169" s="1">
        <v>34656.794000000002</v>
      </c>
      <c r="E169" s="2" t="s">
        <v>202</v>
      </c>
      <c r="F169" s="5">
        <v>85</v>
      </c>
      <c r="G169" s="6">
        <v>2.3100000000000001</v>
      </c>
      <c r="H169" s="6">
        <v>2.16391</v>
      </c>
      <c r="L169">
        <v>1</v>
      </c>
    </row>
    <row r="170" hidden="1">
      <c r="A170">
        <v>17</v>
      </c>
      <c r="B170" t="s">
        <v>195</v>
      </c>
      <c r="C170">
        <v>2011</v>
      </c>
      <c r="D170" s="1">
        <v>34632.998720000003</v>
      </c>
      <c r="E170" s="2" t="s">
        <v>203</v>
      </c>
      <c r="F170" s="5">
        <v>85</v>
      </c>
      <c r="G170" s="6">
        <v>2.1680557105827782</v>
      </c>
      <c r="H170" s="6">
        <v>2.1000000000000001</v>
      </c>
      <c r="L170">
        <v>1</v>
      </c>
    </row>
    <row r="171" hidden="1">
      <c r="A171">
        <v>17</v>
      </c>
      <c r="B171" t="s">
        <v>195</v>
      </c>
      <c r="C171">
        <v>2010</v>
      </c>
      <c r="D171" s="1">
        <v>33910.852809999997</v>
      </c>
      <c r="E171" s="2" t="s">
        <v>204</v>
      </c>
      <c r="F171" s="5">
        <v>85</v>
      </c>
      <c r="G171" s="6">
        <v>3.0481452543066561</v>
      </c>
      <c r="H171" s="6">
        <v>2.1000000000000001</v>
      </c>
      <c r="L171">
        <v>1</v>
      </c>
    </row>
    <row r="172">
      <c r="A172">
        <v>17</v>
      </c>
      <c r="B172" t="s">
        <v>195</v>
      </c>
      <c r="C172">
        <v>2009</v>
      </c>
      <c r="D172" s="1">
        <v>32494.36376</v>
      </c>
      <c r="E172" s="2" t="s">
        <v>205</v>
      </c>
      <c r="F172" s="5">
        <v>86</v>
      </c>
      <c r="G172" s="6">
        <v>3.3178837504720704</v>
      </c>
      <c r="H172" s="6">
        <v>2</v>
      </c>
      <c r="L172">
        <v>1</v>
      </c>
    </row>
    <row r="173" hidden="1">
      <c r="A173">
        <v>18</v>
      </c>
      <c r="B173" t="s">
        <v>206</v>
      </c>
      <c r="C173">
        <v>2018</v>
      </c>
      <c r="E173" s="2" t="s">
        <v>207</v>
      </c>
      <c r="F173" s="5">
        <v>108</v>
      </c>
      <c r="G173" s="6">
        <v>1.3</v>
      </c>
      <c r="H173" s="6">
        <v>1.3512999999999999</v>
      </c>
      <c r="I173" s="1">
        <v>2951.1869673941496</v>
      </c>
      <c r="J173" s="1">
        <v>2387.4303523567201</v>
      </c>
      <c r="K173" s="1">
        <f t="shared" ref="K167:K230" si="4">I173-J173</f>
        <v>563.75661503742958</v>
      </c>
      <c r="L173">
        <v>0</v>
      </c>
    </row>
    <row r="174" hidden="1">
      <c r="A174">
        <v>18</v>
      </c>
      <c r="B174" t="s">
        <v>206</v>
      </c>
      <c r="C174">
        <v>2017</v>
      </c>
      <c r="D174" s="1">
        <v>14020.11491</v>
      </c>
      <c r="E174" s="2" t="s">
        <v>208</v>
      </c>
      <c r="F174" s="5">
        <v>112</v>
      </c>
      <c r="G174" s="6">
        <v>1.52</v>
      </c>
      <c r="H174" s="6">
        <v>1.365</v>
      </c>
      <c r="I174" s="1">
        <v>2645.8605779314998</v>
      </c>
      <c r="J174" s="1">
        <v>2171.2153632233999</v>
      </c>
      <c r="K174" s="1">
        <f t="shared" si="4"/>
        <v>474.64521470809996</v>
      </c>
      <c r="L174">
        <v>0</v>
      </c>
    </row>
    <row r="175" hidden="1">
      <c r="A175">
        <v>18</v>
      </c>
      <c r="B175" t="s">
        <v>206</v>
      </c>
      <c r="C175">
        <v>2016</v>
      </c>
      <c r="D175" s="1">
        <v>14137.96314</v>
      </c>
      <c r="E175" s="2" t="s">
        <v>209</v>
      </c>
      <c r="F175" s="5">
        <v>114</v>
      </c>
      <c r="G175" s="6">
        <v>1.7102098555</v>
      </c>
      <c r="H175" s="6">
        <v>1.3999999999999999</v>
      </c>
      <c r="I175" s="1">
        <v>2424.6089795161001</v>
      </c>
      <c r="J175" s="1">
        <v>2041.5819015802399</v>
      </c>
      <c r="K175" s="1">
        <f t="shared" si="4"/>
        <v>383.02707793586023</v>
      </c>
      <c r="L175">
        <v>0</v>
      </c>
    </row>
    <row r="176" hidden="1">
      <c r="A176">
        <v>18</v>
      </c>
      <c r="B176" t="s">
        <v>206</v>
      </c>
      <c r="C176">
        <v>2015</v>
      </c>
      <c r="D176" s="1">
        <v>13951.562169999999</v>
      </c>
      <c r="E176" s="2" t="s">
        <v>210</v>
      </c>
      <c r="F176" s="5">
        <v>125</v>
      </c>
      <c r="G176" s="6">
        <v>1.7764402333</v>
      </c>
      <c r="H176" s="6">
        <v>1.3</v>
      </c>
      <c r="L176">
        <v>0</v>
      </c>
    </row>
    <row r="177" hidden="1">
      <c r="A177">
        <v>18</v>
      </c>
      <c r="B177" t="s">
        <v>206</v>
      </c>
      <c r="C177">
        <v>2014</v>
      </c>
      <c r="D177" s="1">
        <v>13951.159680000001</v>
      </c>
      <c r="E177" s="2" t="s">
        <v>211</v>
      </c>
      <c r="F177" s="5">
        <v>146</v>
      </c>
      <c r="G177" s="6">
        <v>1.6683077615999999</v>
      </c>
      <c r="H177" s="6">
        <v>1.1976899999999999</v>
      </c>
      <c r="L177">
        <v>0</v>
      </c>
    </row>
    <row r="178" hidden="1">
      <c r="A178">
        <v>18</v>
      </c>
      <c r="B178" t="s">
        <v>206</v>
      </c>
      <c r="C178">
        <v>2013</v>
      </c>
      <c r="D178" s="1">
        <v>13734.5108</v>
      </c>
      <c r="E178" s="2" t="s">
        <v>212</v>
      </c>
      <c r="F178" s="5">
        <v>158</v>
      </c>
      <c r="G178" s="6">
        <v>1.7121939158999999</v>
      </c>
      <c r="H178" s="6">
        <v>1.19895</v>
      </c>
      <c r="L178">
        <v>0</v>
      </c>
    </row>
    <row r="179" hidden="1">
      <c r="A179">
        <v>18</v>
      </c>
      <c r="B179" t="s">
        <v>206</v>
      </c>
      <c r="C179">
        <v>2012</v>
      </c>
      <c r="D179" s="1">
        <v>13511.902190000001</v>
      </c>
      <c r="E179" s="2" t="s">
        <v>213</v>
      </c>
      <c r="F179" s="5">
        <v>176</v>
      </c>
      <c r="G179" s="6">
        <v>1.6100000000000001</v>
      </c>
      <c r="H179" s="6">
        <v>1.1283000000000001</v>
      </c>
      <c r="L179">
        <v>0</v>
      </c>
    </row>
    <row r="180" hidden="1">
      <c r="A180">
        <v>18</v>
      </c>
      <c r="B180" t="s">
        <v>206</v>
      </c>
      <c r="C180">
        <v>2011</v>
      </c>
      <c r="D180" s="1">
        <v>13352.88854</v>
      </c>
      <c r="E180" s="2" t="s">
        <v>214</v>
      </c>
      <c r="F180" s="5">
        <v>178</v>
      </c>
      <c r="G180" s="6">
        <v>1.5282076640842963</v>
      </c>
      <c r="H180" s="6">
        <v>1.1000000000000001</v>
      </c>
      <c r="L180">
        <v>0</v>
      </c>
    </row>
    <row r="181" hidden="1">
      <c r="A181">
        <v>18</v>
      </c>
      <c r="B181" t="s">
        <v>206</v>
      </c>
      <c r="C181">
        <v>2010</v>
      </c>
      <c r="D181" s="1">
        <v>13065.408659999999</v>
      </c>
      <c r="E181" s="2" t="s">
        <v>215</v>
      </c>
      <c r="F181" s="5">
        <v>180</v>
      </c>
      <c r="G181" s="6">
        <v>1.5920801206327111</v>
      </c>
      <c r="H181" s="6">
        <v>1.1000000000000001</v>
      </c>
      <c r="L181">
        <v>0</v>
      </c>
    </row>
    <row r="182">
      <c r="A182">
        <v>18</v>
      </c>
      <c r="B182" t="s">
        <v>206</v>
      </c>
      <c r="C182">
        <v>2009</v>
      </c>
      <c r="D182" s="1">
        <v>12637.89176</v>
      </c>
      <c r="E182" s="2" t="s">
        <v>216</v>
      </c>
      <c r="F182" s="5">
        <v>190</v>
      </c>
      <c r="G182" s="6">
        <v>1.7791292500966116</v>
      </c>
      <c r="H182" s="6">
        <v>1.2</v>
      </c>
      <c r="L182">
        <v>0</v>
      </c>
    </row>
    <row r="183" hidden="1">
      <c r="A183">
        <v>19</v>
      </c>
      <c r="B183" t="s">
        <v>217</v>
      </c>
      <c r="C183">
        <v>2018</v>
      </c>
      <c r="E183" s="2" t="s">
        <v>218</v>
      </c>
      <c r="F183" s="5">
        <v>212</v>
      </c>
      <c r="G183" s="6">
        <v>2.7000000000000002</v>
      </c>
      <c r="H183" s="6">
        <v>2.1936</v>
      </c>
      <c r="I183" s="1">
        <v>14722.774973022899</v>
      </c>
      <c r="J183" s="1">
        <v>15103.0538537791</v>
      </c>
      <c r="K183" s="1">
        <f t="shared" si="4"/>
        <v>-380.27888075620103</v>
      </c>
      <c r="L183">
        <v>1</v>
      </c>
    </row>
    <row r="184" hidden="1">
      <c r="A184">
        <v>19</v>
      </c>
      <c r="B184" t="s">
        <v>217</v>
      </c>
      <c r="C184">
        <v>2017</v>
      </c>
      <c r="D184" s="1">
        <v>41592.478170000002</v>
      </c>
      <c r="E184" s="2" t="s">
        <v>219</v>
      </c>
      <c r="F184" s="5">
        <v>213</v>
      </c>
      <c r="G184" s="6">
        <v>3.1499999999999999</v>
      </c>
      <c r="H184" s="6">
        <v>2.2610000000000001</v>
      </c>
      <c r="I184" s="1">
        <v>13374.486414663099</v>
      </c>
      <c r="J184" s="1">
        <v>13196.7993496045</v>
      </c>
      <c r="K184" s="1">
        <f t="shared" si="4"/>
        <v>177.68706505859882</v>
      </c>
      <c r="L184">
        <v>1</v>
      </c>
    </row>
    <row r="185" hidden="1">
      <c r="A185">
        <v>19</v>
      </c>
      <c r="B185" t="s">
        <v>217</v>
      </c>
      <c r="C185">
        <v>2016</v>
      </c>
      <c r="D185" s="1">
        <v>40813.489999999998</v>
      </c>
      <c r="E185" s="2" t="s">
        <v>220</v>
      </c>
      <c r="F185" s="5">
        <v>213</v>
      </c>
      <c r="G185" s="6">
        <v>3.1555568183</v>
      </c>
      <c r="H185" s="6">
        <v>2.2000000000000002</v>
      </c>
      <c r="I185" s="1">
        <v>13017.1214613829</v>
      </c>
      <c r="J185" s="1">
        <v>12050.5727373386</v>
      </c>
      <c r="K185" s="1">
        <f t="shared" si="4"/>
        <v>966.54872404429989</v>
      </c>
      <c r="L185">
        <v>1</v>
      </c>
    </row>
    <row r="186" hidden="1">
      <c r="A186">
        <v>19</v>
      </c>
      <c r="B186" t="s">
        <v>217</v>
      </c>
      <c r="C186">
        <v>2015</v>
      </c>
      <c r="D186" s="1">
        <v>40647.580029999997</v>
      </c>
      <c r="E186" s="2" t="s">
        <v>221</v>
      </c>
      <c r="F186" s="5">
        <v>213</v>
      </c>
      <c r="G186" s="6">
        <v>3.1149857278000002</v>
      </c>
      <c r="H186" s="6">
        <v>2.2000000000000002</v>
      </c>
      <c r="L186">
        <v>1</v>
      </c>
    </row>
    <row r="187" hidden="1">
      <c r="A187">
        <v>19</v>
      </c>
      <c r="B187" t="s">
        <v>217</v>
      </c>
      <c r="C187">
        <v>2014</v>
      </c>
      <c r="D187" s="1">
        <v>40139.277049999997</v>
      </c>
      <c r="E187" s="2" t="s">
        <v>222</v>
      </c>
      <c r="F187" s="5">
        <v>213</v>
      </c>
      <c r="G187" s="6">
        <v>2.9041259633999998</v>
      </c>
      <c r="H187" s="6">
        <v>2.1046200000000002</v>
      </c>
      <c r="L187">
        <v>1</v>
      </c>
    </row>
    <row r="188" hidden="1">
      <c r="A188">
        <v>19</v>
      </c>
      <c r="B188" t="s">
        <v>217</v>
      </c>
      <c r="C188">
        <v>2013</v>
      </c>
      <c r="D188" s="1">
        <v>39488.546719999998</v>
      </c>
      <c r="E188" s="2" t="s">
        <v>223</v>
      </c>
      <c r="F188" s="5">
        <v>216</v>
      </c>
      <c r="G188" s="6">
        <v>2.8494090775999998</v>
      </c>
      <c r="H188" s="6">
        <v>2.0323899999999999</v>
      </c>
      <c r="L188">
        <v>1</v>
      </c>
    </row>
    <row r="189" hidden="1">
      <c r="A189">
        <v>19</v>
      </c>
      <c r="B189" t="s">
        <v>217</v>
      </c>
      <c r="C189">
        <v>2012</v>
      </c>
      <c r="D189" s="1">
        <v>38719.768539999997</v>
      </c>
      <c r="E189" s="2" t="s">
        <v>224</v>
      </c>
      <c r="F189" s="5">
        <v>219</v>
      </c>
      <c r="G189" s="6">
        <v>2.6899999999999999</v>
      </c>
      <c r="H189" s="6">
        <v>1.97542</v>
      </c>
      <c r="L189">
        <v>1</v>
      </c>
    </row>
    <row r="190" hidden="1">
      <c r="A190">
        <v>19</v>
      </c>
      <c r="B190" t="s">
        <v>217</v>
      </c>
      <c r="C190">
        <v>2011</v>
      </c>
      <c r="D190" s="1">
        <v>38505.312740000001</v>
      </c>
      <c r="E190" s="2" t="s">
        <v>225</v>
      </c>
      <c r="F190" s="5">
        <v>220</v>
      </c>
      <c r="G190" s="6">
        <v>2.0133466870734389</v>
      </c>
      <c r="H190" s="6">
        <v>1.8999999999999999</v>
      </c>
      <c r="L190">
        <v>1</v>
      </c>
    </row>
    <row r="191" hidden="1">
      <c r="A191">
        <v>19</v>
      </c>
      <c r="B191" t="s">
        <v>217</v>
      </c>
      <c r="C191">
        <v>2010</v>
      </c>
      <c r="D191" s="1">
        <v>37664.966370000002</v>
      </c>
      <c r="E191" s="2" t="s">
        <v>226</v>
      </c>
      <c r="F191" s="5">
        <v>220</v>
      </c>
      <c r="G191" s="6">
        <v>2.863060686636151</v>
      </c>
      <c r="H191" s="6">
        <v>1.8999999999999999</v>
      </c>
      <c r="L191">
        <v>1</v>
      </c>
    </row>
    <row r="192">
      <c r="A192">
        <v>19</v>
      </c>
      <c r="B192" t="s">
        <v>217</v>
      </c>
      <c r="C192">
        <v>2009</v>
      </c>
      <c r="D192" s="1">
        <v>36943.540889999997</v>
      </c>
      <c r="E192" s="2" t="s">
        <v>227</v>
      </c>
      <c r="F192" s="5">
        <v>229</v>
      </c>
      <c r="G192" s="6">
        <v>3.3850257782418587</v>
      </c>
      <c r="H192" s="6">
        <v>1.8999999999999999</v>
      </c>
      <c r="L192">
        <v>1</v>
      </c>
    </row>
    <row r="193" hidden="1">
      <c r="A193">
        <v>20</v>
      </c>
      <c r="B193" t="s">
        <v>228</v>
      </c>
      <c r="C193">
        <v>2018</v>
      </c>
      <c r="E193" s="2" t="s">
        <v>229</v>
      </c>
      <c r="F193" s="5">
        <v>80</v>
      </c>
      <c r="G193" s="6">
        <v>2.1000000000000001</v>
      </c>
      <c r="H193" s="6">
        <v>1.5898000000000001</v>
      </c>
      <c r="I193" s="1">
        <v>3734.5621392403405</v>
      </c>
      <c r="J193" s="1">
        <v>4344.7389580867703</v>
      </c>
      <c r="K193" s="1">
        <f t="shared" si="4"/>
        <v>-610.1768188464298</v>
      </c>
      <c r="L193">
        <v>1</v>
      </c>
    </row>
    <row r="194" hidden="1">
      <c r="A194">
        <v>20</v>
      </c>
      <c r="B194" t="s">
        <v>228</v>
      </c>
      <c r="C194">
        <v>2017</v>
      </c>
      <c r="D194" s="1">
        <v>16374.21017</v>
      </c>
      <c r="E194" s="2" t="s">
        <v>230</v>
      </c>
      <c r="F194" s="5">
        <v>80</v>
      </c>
      <c r="G194" s="6">
        <v>2.25</v>
      </c>
      <c r="H194" s="6">
        <v>1.7549999999999999</v>
      </c>
      <c r="I194" s="1">
        <v>3712.21457036225</v>
      </c>
      <c r="J194" s="1">
        <v>4063.78567917588</v>
      </c>
      <c r="K194" s="1">
        <f t="shared" si="4"/>
        <v>-351.57110881362996</v>
      </c>
      <c r="L194">
        <v>1</v>
      </c>
    </row>
    <row r="195" hidden="1">
      <c r="A195">
        <v>20</v>
      </c>
      <c r="B195" t="s">
        <v>228</v>
      </c>
      <c r="C195">
        <v>2016</v>
      </c>
      <c r="D195" s="1">
        <v>16326.55631</v>
      </c>
      <c r="E195" s="2" t="s">
        <v>231</v>
      </c>
      <c r="F195" s="5">
        <v>80</v>
      </c>
      <c r="G195" s="6">
        <v>2.5275986463</v>
      </c>
      <c r="H195" s="6">
        <v>1.7</v>
      </c>
      <c r="I195" s="1">
        <v>3556.2070167281699</v>
      </c>
      <c r="J195" s="1">
        <v>3677.2605635711398</v>
      </c>
      <c r="K195" s="1">
        <f t="shared" si="4"/>
        <v>-121.05354684296981</v>
      </c>
      <c r="L195">
        <v>1</v>
      </c>
    </row>
    <row r="196" hidden="1">
      <c r="A196">
        <v>20</v>
      </c>
      <c r="B196" t="s">
        <v>228</v>
      </c>
      <c r="C196">
        <v>2015</v>
      </c>
      <c r="D196" s="1">
        <v>15960.560960000001</v>
      </c>
      <c r="E196" s="2" t="s">
        <v>232</v>
      </c>
      <c r="F196" s="5">
        <v>80</v>
      </c>
      <c r="G196" s="6">
        <v>2.5414413993</v>
      </c>
      <c r="H196" s="6">
        <v>1.8</v>
      </c>
      <c r="L196">
        <v>1</v>
      </c>
    </row>
    <row r="197" hidden="1">
      <c r="A197">
        <v>20</v>
      </c>
      <c r="B197" t="s">
        <v>228</v>
      </c>
      <c r="C197">
        <v>2014</v>
      </c>
      <c r="D197" s="1">
        <v>15997.986929999999</v>
      </c>
      <c r="E197" s="2" t="s">
        <v>233</v>
      </c>
      <c r="F197" s="5">
        <v>80</v>
      </c>
      <c r="G197" s="6">
        <v>2.4826661587999999</v>
      </c>
      <c r="H197" s="6">
        <v>1.72085</v>
      </c>
      <c r="L197">
        <v>1</v>
      </c>
    </row>
    <row r="198" hidden="1">
      <c r="A198">
        <v>20</v>
      </c>
      <c r="B198" t="s">
        <v>228</v>
      </c>
      <c r="C198">
        <v>2013</v>
      </c>
      <c r="D198" s="1">
        <v>15678.79909</v>
      </c>
      <c r="E198" s="2" t="s">
        <v>234</v>
      </c>
      <c r="F198" s="5">
        <v>80</v>
      </c>
      <c r="G198" s="6">
        <v>2.4744386374</v>
      </c>
      <c r="H198" s="6">
        <v>1.6396500000000001</v>
      </c>
      <c r="L198">
        <v>1</v>
      </c>
    </row>
    <row r="199" hidden="1">
      <c r="A199">
        <v>20</v>
      </c>
      <c r="B199" t="s">
        <v>228</v>
      </c>
      <c r="C199">
        <v>2012</v>
      </c>
      <c r="D199" s="1">
        <v>15345.086579999999</v>
      </c>
      <c r="E199" s="2" t="s">
        <v>235</v>
      </c>
      <c r="F199" s="5">
        <v>80</v>
      </c>
      <c r="G199" s="6">
        <v>2.1800000000000002</v>
      </c>
      <c r="H199" s="6">
        <v>1.5948</v>
      </c>
      <c r="L199">
        <v>1</v>
      </c>
    </row>
    <row r="200" hidden="1">
      <c r="A200">
        <v>20</v>
      </c>
      <c r="B200" t="s">
        <v>228</v>
      </c>
      <c r="C200">
        <v>2011</v>
      </c>
      <c r="D200" s="1">
        <v>15213.68411</v>
      </c>
      <c r="E200" s="2" t="s">
        <v>236</v>
      </c>
      <c r="F200" s="5">
        <v>80</v>
      </c>
      <c r="G200" s="6">
        <v>2.5658837672748245</v>
      </c>
      <c r="H200" s="6">
        <v>1.6000000000000001</v>
      </c>
      <c r="L200">
        <v>1</v>
      </c>
    </row>
    <row r="201" hidden="1">
      <c r="A201">
        <v>20</v>
      </c>
      <c r="B201" t="s">
        <v>228</v>
      </c>
      <c r="C201">
        <v>2010</v>
      </c>
      <c r="D201" s="1">
        <v>14734.431210000001</v>
      </c>
      <c r="E201" s="2" t="s">
        <v>237</v>
      </c>
      <c r="F201" s="5">
        <v>80</v>
      </c>
      <c r="G201" s="6">
        <v>3.1288523109329951</v>
      </c>
      <c r="H201" s="6">
        <v>1.6000000000000001</v>
      </c>
      <c r="L201">
        <v>1</v>
      </c>
    </row>
    <row r="202">
      <c r="A202">
        <v>20</v>
      </c>
      <c r="B202" t="s">
        <v>228</v>
      </c>
      <c r="C202">
        <v>2009</v>
      </c>
      <c r="D202" s="1">
        <v>13928.470499999999</v>
      </c>
      <c r="E202" s="2" t="s">
        <v>238</v>
      </c>
      <c r="F202" s="5">
        <v>80</v>
      </c>
      <c r="G202" s="6">
        <v>3.2026454941070783</v>
      </c>
      <c r="H202" s="6">
        <v>1.6000000000000001</v>
      </c>
      <c r="L202">
        <v>1</v>
      </c>
    </row>
    <row r="203" hidden="1">
      <c r="A203">
        <v>21</v>
      </c>
      <c r="B203" t="s">
        <v>239</v>
      </c>
      <c r="C203">
        <v>2018</v>
      </c>
      <c r="E203" s="2" t="s">
        <v>240</v>
      </c>
      <c r="F203" s="5">
        <v>115</v>
      </c>
      <c r="G203" s="6">
        <v>3</v>
      </c>
      <c r="H203" s="6">
        <v>2.7294</v>
      </c>
      <c r="I203" s="1">
        <v>40894.352905769701</v>
      </c>
      <c r="J203" s="1">
        <v>36251.087253249003</v>
      </c>
      <c r="K203" s="1">
        <f t="shared" si="4"/>
        <v>4643.2656525206985</v>
      </c>
      <c r="L203">
        <v>1</v>
      </c>
    </row>
    <row r="204" hidden="1">
      <c r="A204">
        <v>21</v>
      </c>
      <c r="B204" t="s">
        <v>239</v>
      </c>
      <c r="C204">
        <v>2017</v>
      </c>
      <c r="D204" s="1">
        <v>28511.826260000002</v>
      </c>
      <c r="E204" s="2" t="s">
        <v>241</v>
      </c>
      <c r="F204" s="5">
        <v>130</v>
      </c>
      <c r="G204" s="6">
        <v>3.3799999999999999</v>
      </c>
      <c r="H204" s="6">
        <v>2.7210000000000001</v>
      </c>
      <c r="I204" s="1">
        <v>42176.919344062895</v>
      </c>
      <c r="J204" s="1">
        <v>44694.755031169298</v>
      </c>
      <c r="K204" s="1">
        <f t="shared" si="4"/>
        <v>-2517.8356871064025</v>
      </c>
      <c r="L204">
        <v>1</v>
      </c>
    </row>
    <row r="205" hidden="1">
      <c r="A205">
        <v>21</v>
      </c>
      <c r="B205" t="s">
        <v>239</v>
      </c>
      <c r="C205">
        <v>2016</v>
      </c>
      <c r="D205" s="1">
        <v>29398.066320000002</v>
      </c>
      <c r="E205" s="2" t="s">
        <v>242</v>
      </c>
      <c r="F205" s="5">
        <v>135</v>
      </c>
      <c r="G205" s="6">
        <v>3.5073278067000002</v>
      </c>
      <c r="H205" s="6">
        <v>2.7999999999999998</v>
      </c>
      <c r="I205" s="1">
        <v>49135.884006754997</v>
      </c>
      <c r="J205" s="1">
        <v>53609.5642454759</v>
      </c>
      <c r="K205" s="1">
        <f t="shared" si="4"/>
        <v>-4473.6802387209027</v>
      </c>
      <c r="L205">
        <v>1</v>
      </c>
    </row>
    <row r="206" hidden="1">
      <c r="A206">
        <v>21</v>
      </c>
      <c r="B206" t="s">
        <v>239</v>
      </c>
      <c r="C206">
        <v>2015</v>
      </c>
      <c r="D206" s="1">
        <v>29278.124660000001</v>
      </c>
      <c r="E206" s="2" t="s">
        <v>243</v>
      </c>
      <c r="F206" s="5">
        <v>135</v>
      </c>
      <c r="G206" s="6">
        <v>3.8404966013999999</v>
      </c>
      <c r="H206" s="6">
        <v>2.6000000000000001</v>
      </c>
      <c r="L206">
        <v>1</v>
      </c>
    </row>
    <row r="207" hidden="1">
      <c r="A207">
        <v>21</v>
      </c>
      <c r="B207" t="s">
        <v>239</v>
      </c>
      <c r="C207">
        <v>2014</v>
      </c>
      <c r="D207" s="1">
        <v>28905.243149999998</v>
      </c>
      <c r="E207" s="2" t="s">
        <v>244</v>
      </c>
      <c r="F207" s="5">
        <v>135</v>
      </c>
      <c r="G207" s="6">
        <v>4.2356947361000001</v>
      </c>
      <c r="H207" s="6">
        <v>2.59076</v>
      </c>
      <c r="L207">
        <v>1</v>
      </c>
    </row>
    <row r="208" hidden="1">
      <c r="A208">
        <v>21</v>
      </c>
      <c r="B208" t="s">
        <v>239</v>
      </c>
      <c r="C208">
        <v>2013</v>
      </c>
      <c r="D208" s="1">
        <v>28163.77736</v>
      </c>
      <c r="E208" s="2" t="s">
        <v>245</v>
      </c>
      <c r="F208" s="5">
        <v>147</v>
      </c>
      <c r="G208" s="6">
        <v>4.5159447871999996</v>
      </c>
      <c r="H208" s="6">
        <v>2.41005</v>
      </c>
      <c r="L208">
        <v>1</v>
      </c>
    </row>
    <row r="209" hidden="1">
      <c r="A209">
        <v>21</v>
      </c>
      <c r="B209" t="s">
        <v>239</v>
      </c>
      <c r="C209">
        <v>2012</v>
      </c>
      <c r="D209" s="1">
        <v>27274.202990000002</v>
      </c>
      <c r="E209" s="2" t="s">
        <v>246</v>
      </c>
      <c r="F209" s="5">
        <v>157</v>
      </c>
      <c r="G209" s="6">
        <v>4.3600000000000003</v>
      </c>
      <c r="H209" s="6">
        <v>2.2401399999999998</v>
      </c>
      <c r="L209">
        <v>1</v>
      </c>
    </row>
    <row r="210" hidden="1">
      <c r="A210">
        <v>21</v>
      </c>
      <c r="B210" t="s">
        <v>239</v>
      </c>
      <c r="C210">
        <v>2011</v>
      </c>
      <c r="D210" s="1">
        <v>26807.314160000002</v>
      </c>
      <c r="E210" s="2" t="s">
        <v>247</v>
      </c>
      <c r="F210" s="5">
        <v>157</v>
      </c>
      <c r="G210" s="6">
        <v>4.2410418117889019</v>
      </c>
      <c r="H210" s="6">
        <v>2</v>
      </c>
      <c r="L210">
        <v>1</v>
      </c>
    </row>
    <row r="211" hidden="1">
      <c r="A211">
        <v>21</v>
      </c>
      <c r="B211" t="s">
        <v>239</v>
      </c>
      <c r="C211">
        <v>2010</v>
      </c>
      <c r="D211" s="1">
        <v>26263.94483</v>
      </c>
      <c r="E211" s="2" t="s">
        <v>248</v>
      </c>
      <c r="F211" s="5">
        <v>169</v>
      </c>
      <c r="G211" s="6">
        <v>4.7224848243606328</v>
      </c>
      <c r="H211" s="6">
        <v>1.8</v>
      </c>
      <c r="L211">
        <v>1</v>
      </c>
    </row>
    <row r="212">
      <c r="A212">
        <v>21</v>
      </c>
      <c r="B212" t="s">
        <v>239</v>
      </c>
      <c r="C212">
        <v>2009</v>
      </c>
      <c r="D212" s="1">
        <v>25456.139589999999</v>
      </c>
      <c r="E212" s="2" t="s">
        <v>249</v>
      </c>
      <c r="F212" s="5">
        <v>181</v>
      </c>
      <c r="G212" s="6">
        <v>4.876640472967968</v>
      </c>
      <c r="H212" s="6">
        <v>1.8</v>
      </c>
      <c r="L212">
        <v>1</v>
      </c>
    </row>
    <row r="213" hidden="1">
      <c r="A213">
        <v>22</v>
      </c>
      <c r="B213" t="s">
        <v>250</v>
      </c>
      <c r="C213">
        <v>2018</v>
      </c>
      <c r="E213" s="2" t="s">
        <v>251</v>
      </c>
      <c r="F213" s="5">
        <v>309</v>
      </c>
      <c r="G213" s="6">
        <v>3.7999999999999998</v>
      </c>
      <c r="H213" s="6">
        <v>4.5585300000000002</v>
      </c>
      <c r="I213" s="1">
        <v>15744.9304508972</v>
      </c>
      <c r="J213" s="1">
        <v>9768.5211275087895</v>
      </c>
      <c r="K213" s="1">
        <f t="shared" si="4"/>
        <v>5976.4093233884105</v>
      </c>
      <c r="L213">
        <v>1</v>
      </c>
    </row>
    <row r="214" hidden="1">
      <c r="A214">
        <v>22</v>
      </c>
      <c r="B214" t="s">
        <v>250</v>
      </c>
      <c r="C214">
        <v>2017</v>
      </c>
      <c r="D214" s="1">
        <v>53730.906990000003</v>
      </c>
      <c r="E214" s="2" t="s">
        <v>252</v>
      </c>
      <c r="F214" s="5">
        <v>309</v>
      </c>
      <c r="G214" s="6">
        <v>4.5199999999999996</v>
      </c>
      <c r="H214" s="6">
        <v>4.7210000000000001</v>
      </c>
      <c r="I214" s="1">
        <v>15798.8425092166</v>
      </c>
      <c r="J214" s="1">
        <v>9762.3873182950592</v>
      </c>
      <c r="K214" s="1">
        <f t="shared" si="4"/>
        <v>6036.4551909215406</v>
      </c>
      <c r="L214">
        <v>1</v>
      </c>
    </row>
    <row r="215" hidden="1">
      <c r="A215">
        <v>22</v>
      </c>
      <c r="B215" t="s">
        <v>250</v>
      </c>
      <c r="C215">
        <v>2016</v>
      </c>
      <c r="D215" s="1">
        <v>56232.436029999997</v>
      </c>
      <c r="E215" s="2" t="s">
        <v>253</v>
      </c>
      <c r="F215" s="5">
        <v>318</v>
      </c>
      <c r="G215" s="6">
        <v>4.7217016160999998</v>
      </c>
      <c r="H215" s="6">
        <v>4.7999999999999998</v>
      </c>
      <c r="I215" s="1">
        <v>15815.730431112699</v>
      </c>
      <c r="J215" s="1">
        <v>9478.234876976021</v>
      </c>
      <c r="K215" s="1">
        <f t="shared" si="4"/>
        <v>6337.495554136678</v>
      </c>
      <c r="L215">
        <v>1</v>
      </c>
    </row>
    <row r="216" hidden="1">
      <c r="A216">
        <v>22</v>
      </c>
      <c r="B216" t="s">
        <v>250</v>
      </c>
      <c r="C216">
        <v>2015</v>
      </c>
      <c r="D216" s="1">
        <v>52661.109550000001</v>
      </c>
      <c r="E216" s="2" t="s">
        <v>254</v>
      </c>
      <c r="F216" s="5">
        <v>318</v>
      </c>
      <c r="G216" s="6">
        <v>4.9660468391999997</v>
      </c>
      <c r="H216" s="6">
        <v>4.7999999999999998</v>
      </c>
      <c r="L216">
        <v>1</v>
      </c>
    </row>
    <row r="217" hidden="1">
      <c r="A217">
        <v>22</v>
      </c>
      <c r="B217" t="s">
        <v>250</v>
      </c>
      <c r="C217">
        <v>2014</v>
      </c>
      <c r="D217" s="1">
        <v>51995.956610000001</v>
      </c>
      <c r="E217" s="2" t="s">
        <v>255</v>
      </c>
      <c r="F217" s="5">
        <v>318</v>
      </c>
      <c r="G217" s="6">
        <v>4.8782482669</v>
      </c>
      <c r="H217" s="6">
        <v>4.9246499999999997</v>
      </c>
      <c r="L217">
        <v>1</v>
      </c>
    </row>
    <row r="218" hidden="1">
      <c r="A218">
        <v>22</v>
      </c>
      <c r="B218" t="s">
        <v>250</v>
      </c>
      <c r="C218">
        <v>2013</v>
      </c>
      <c r="D218" s="1">
        <v>50537.960590000002</v>
      </c>
      <c r="E218" s="2" t="s">
        <v>256</v>
      </c>
      <c r="F218" s="5">
        <v>318</v>
      </c>
      <c r="G218" s="6">
        <v>5.0078414694999998</v>
      </c>
      <c r="H218" s="6">
        <v>5.02658</v>
      </c>
      <c r="L218">
        <v>1</v>
      </c>
    </row>
    <row r="219" hidden="1">
      <c r="A219">
        <v>22</v>
      </c>
      <c r="B219" t="s">
        <v>250</v>
      </c>
      <c r="C219">
        <v>2012</v>
      </c>
      <c r="D219" s="1">
        <v>49525.047079999997</v>
      </c>
      <c r="E219" s="2" t="s">
        <v>257</v>
      </c>
      <c r="F219" s="5">
        <v>326</v>
      </c>
      <c r="G219" s="6">
        <v>4.6500000000000004</v>
      </c>
      <c r="H219" s="6">
        <v>5.08758</v>
      </c>
      <c r="L219">
        <v>1</v>
      </c>
    </row>
    <row r="220" hidden="1">
      <c r="A220">
        <v>22</v>
      </c>
      <c r="B220" t="s">
        <v>250</v>
      </c>
      <c r="C220">
        <v>2011</v>
      </c>
      <c r="D220" s="1">
        <v>48735.92628</v>
      </c>
      <c r="E220" s="2" t="s">
        <v>258</v>
      </c>
      <c r="F220" s="5">
        <v>375</v>
      </c>
      <c r="G220" s="6">
        <v>4.4117293048062542</v>
      </c>
      <c r="H220" s="6">
        <v>4.9000000000000004</v>
      </c>
      <c r="L220">
        <v>1</v>
      </c>
    </row>
    <row r="221" hidden="1">
      <c r="A221">
        <v>22</v>
      </c>
      <c r="B221" t="s">
        <v>250</v>
      </c>
      <c r="C221">
        <v>2010</v>
      </c>
      <c r="D221" s="1">
        <v>47234.81841</v>
      </c>
      <c r="E221" s="2" t="s">
        <v>259</v>
      </c>
      <c r="F221" s="5">
        <v>375</v>
      </c>
      <c r="G221" s="6">
        <v>4.9580242884947499</v>
      </c>
      <c r="H221" s="6">
        <v>4.9000000000000004</v>
      </c>
      <c r="L221">
        <v>1</v>
      </c>
    </row>
    <row r="222">
      <c r="A222">
        <v>22</v>
      </c>
      <c r="B222" t="s">
        <v>250</v>
      </c>
      <c r="C222">
        <v>2009</v>
      </c>
      <c r="D222" s="1">
        <v>45287.962290000003</v>
      </c>
      <c r="E222" s="2" t="s">
        <v>260</v>
      </c>
      <c r="F222" s="5">
        <v>375</v>
      </c>
      <c r="G222" s="6">
        <v>5.1283419191828115</v>
      </c>
      <c r="H222" s="6">
        <v>4.9000000000000004</v>
      </c>
      <c r="L222">
        <v>1</v>
      </c>
    </row>
    <row r="223" hidden="1">
      <c r="A223">
        <v>23</v>
      </c>
      <c r="B223" t="s">
        <v>261</v>
      </c>
      <c r="C223">
        <v>2018</v>
      </c>
      <c r="E223" s="2" t="s">
        <v>262</v>
      </c>
      <c r="F223" s="5">
        <v>126</v>
      </c>
      <c r="G223" s="6">
        <v>3.1000000000000001</v>
      </c>
      <c r="H223" s="6">
        <v>1.7996000000000001</v>
      </c>
      <c r="I223" s="1">
        <v>3408.4700328885797</v>
      </c>
      <c r="J223" s="1">
        <v>2872.8096690145203</v>
      </c>
      <c r="K223" s="1">
        <f t="shared" si="4"/>
        <v>535.66036387405939</v>
      </c>
      <c r="L223">
        <v>0</v>
      </c>
    </row>
    <row r="224" hidden="1">
      <c r="A224">
        <v>23</v>
      </c>
      <c r="B224" t="s">
        <v>261</v>
      </c>
      <c r="C224">
        <v>2017</v>
      </c>
      <c r="D224" s="1">
        <v>18405.369299999998</v>
      </c>
      <c r="E224" s="2" t="s">
        <v>263</v>
      </c>
      <c r="F224" s="5">
        <v>126</v>
      </c>
      <c r="G224" s="6">
        <v>3.5800000000000001</v>
      </c>
      <c r="H224" s="6">
        <v>1.7230000000000001</v>
      </c>
      <c r="I224" s="1">
        <v>3394.0872198095899</v>
      </c>
      <c r="J224" s="1">
        <v>2661.1191509263299</v>
      </c>
      <c r="K224" s="1">
        <f t="shared" si="4"/>
        <v>732.96806888326</v>
      </c>
      <c r="L224">
        <v>0</v>
      </c>
    </row>
    <row r="225" hidden="1">
      <c r="A225">
        <v>23</v>
      </c>
      <c r="B225" t="s">
        <v>261</v>
      </c>
      <c r="C225">
        <v>2016</v>
      </c>
      <c r="D225" s="1">
        <v>17988.1106</v>
      </c>
      <c r="E225" s="2" t="s">
        <v>264</v>
      </c>
      <c r="F225" s="5">
        <v>134</v>
      </c>
      <c r="G225" s="6">
        <v>3.9484424002999998</v>
      </c>
      <c r="H225" s="6">
        <v>1.8</v>
      </c>
      <c r="I225" s="1">
        <v>3326.1472752910499</v>
      </c>
      <c r="J225" s="1">
        <v>2440.5361661689299</v>
      </c>
      <c r="K225" s="1">
        <f t="shared" si="4"/>
        <v>885.61110912212007</v>
      </c>
      <c r="L225">
        <v>0</v>
      </c>
    </row>
    <row r="226" hidden="1">
      <c r="A226">
        <v>23</v>
      </c>
      <c r="B226" t="s">
        <v>261</v>
      </c>
      <c r="C226">
        <v>2015</v>
      </c>
      <c r="D226" s="1">
        <v>17926.814170000001</v>
      </c>
      <c r="E226" s="2" t="s">
        <v>265</v>
      </c>
      <c r="F226" s="5">
        <v>134</v>
      </c>
      <c r="G226" s="6">
        <v>4.3430059533999996</v>
      </c>
      <c r="H226" s="6">
        <v>1.8</v>
      </c>
      <c r="L226">
        <v>0</v>
      </c>
    </row>
    <row r="227" hidden="1">
      <c r="A227">
        <v>23</v>
      </c>
      <c r="B227" t="s">
        <v>261</v>
      </c>
      <c r="C227">
        <v>2014</v>
      </c>
      <c r="D227" s="1">
        <v>17388.806830000001</v>
      </c>
      <c r="E227" s="2" t="s">
        <v>266</v>
      </c>
      <c r="F227" s="5">
        <v>134</v>
      </c>
      <c r="G227" s="6">
        <v>4.1853715327999996</v>
      </c>
      <c r="H227" s="6">
        <v>1.72746</v>
      </c>
      <c r="L227">
        <v>0</v>
      </c>
    </row>
    <row r="228" hidden="1">
      <c r="A228">
        <v>23</v>
      </c>
      <c r="B228" t="s">
        <v>261</v>
      </c>
      <c r="C228">
        <v>2013</v>
      </c>
      <c r="D228" s="1">
        <v>17200.374660000001</v>
      </c>
      <c r="E228" s="2" t="s">
        <v>267</v>
      </c>
      <c r="F228" s="5">
        <v>135</v>
      </c>
      <c r="G228" s="6">
        <v>4.0496642359999999</v>
      </c>
      <c r="H228" s="6">
        <v>1.6849400000000001</v>
      </c>
      <c r="L228">
        <v>0</v>
      </c>
    </row>
    <row r="229" hidden="1">
      <c r="A229">
        <v>23</v>
      </c>
      <c r="B229" t="s">
        <v>261</v>
      </c>
      <c r="C229">
        <v>2012</v>
      </c>
      <c r="D229" s="1">
        <v>17094.529579999999</v>
      </c>
      <c r="E229" s="2" t="s">
        <v>268</v>
      </c>
      <c r="F229" s="5">
        <v>141</v>
      </c>
      <c r="G229" s="6">
        <v>3.52</v>
      </c>
      <c r="H229" s="6">
        <v>1.51535</v>
      </c>
      <c r="L229">
        <v>0</v>
      </c>
    </row>
    <row r="230" hidden="1">
      <c r="A230">
        <v>23</v>
      </c>
      <c r="B230" t="s">
        <v>261</v>
      </c>
      <c r="C230">
        <v>2011</v>
      </c>
      <c r="D230" s="1">
        <v>17071.77462</v>
      </c>
      <c r="E230" s="2" t="s">
        <v>269</v>
      </c>
      <c r="F230" s="5">
        <v>141</v>
      </c>
      <c r="G230" s="6">
        <v>3.1927450253367939</v>
      </c>
      <c r="H230" s="6">
        <v>1.3999999999999999</v>
      </c>
      <c r="L230">
        <v>0</v>
      </c>
    </row>
    <row r="231" hidden="1">
      <c r="A231">
        <v>23</v>
      </c>
      <c r="B231" t="s">
        <v>261</v>
      </c>
      <c r="C231">
        <v>2010</v>
      </c>
      <c r="D231" s="1">
        <v>16860.88825</v>
      </c>
      <c r="E231" s="2" t="s">
        <v>270</v>
      </c>
      <c r="F231" s="5">
        <v>143</v>
      </c>
      <c r="G231" s="6">
        <v>3.6710027602686117</v>
      </c>
      <c r="H231" s="6">
        <v>1.3</v>
      </c>
      <c r="L231">
        <v>0</v>
      </c>
    </row>
    <row r="232">
      <c r="A232">
        <v>23</v>
      </c>
      <c r="B232" t="s">
        <v>261</v>
      </c>
      <c r="C232">
        <v>2009</v>
      </c>
      <c r="D232" s="1">
        <v>16344.40063</v>
      </c>
      <c r="E232" s="2" t="s">
        <v>271</v>
      </c>
      <c r="F232" s="5">
        <v>143</v>
      </c>
      <c r="G232" s="6">
        <v>4.1314175242746671</v>
      </c>
      <c r="H232" s="6">
        <v>1.5</v>
      </c>
      <c r="L232">
        <v>0</v>
      </c>
    </row>
    <row r="233" hidden="1">
      <c r="A233">
        <v>24</v>
      </c>
      <c r="B233" t="s">
        <v>272</v>
      </c>
      <c r="C233">
        <v>2018</v>
      </c>
      <c r="E233" s="2" t="s">
        <v>273</v>
      </c>
      <c r="F233" s="5">
        <v>31</v>
      </c>
      <c r="G233" s="6">
        <v>4.5999999999999996</v>
      </c>
      <c r="H233" s="6">
        <v>7.1952999999999996</v>
      </c>
      <c r="I233" s="1">
        <v>29150.529176640997</v>
      </c>
      <c r="J233" s="1">
        <v>16632.590275308601</v>
      </c>
      <c r="K233" s="1">
        <f t="shared" ref="K231:K265" si="5">I233-J233</f>
        <v>12517.938901332396</v>
      </c>
      <c r="L233">
        <v>1</v>
      </c>
    </row>
    <row r="234" hidden="1">
      <c r="A234">
        <v>24</v>
      </c>
      <c r="B234" t="s">
        <v>272</v>
      </c>
      <c r="C234">
        <v>2017</v>
      </c>
      <c r="D234" s="1">
        <v>15434.912700000001</v>
      </c>
      <c r="E234" s="2" t="s">
        <v>274</v>
      </c>
      <c r="F234" s="5">
        <v>36</v>
      </c>
      <c r="G234" s="6">
        <v>5.5999999999999996</v>
      </c>
      <c r="H234" s="6">
        <v>7.5389999999999997</v>
      </c>
      <c r="I234" s="1">
        <v>25674.702089971201</v>
      </c>
      <c r="J234" s="1">
        <v>16056.675344229201</v>
      </c>
      <c r="K234" s="1">
        <f t="shared" si="5"/>
        <v>9618.0267457419995</v>
      </c>
      <c r="L234">
        <v>1</v>
      </c>
    </row>
    <row r="235" hidden="1">
      <c r="A235">
        <v>24</v>
      </c>
      <c r="B235" t="s">
        <v>272</v>
      </c>
      <c r="C235">
        <v>2016</v>
      </c>
      <c r="D235" s="1">
        <v>15218.622789999999</v>
      </c>
      <c r="E235" s="2" t="s">
        <v>275</v>
      </c>
      <c r="F235" s="5">
        <v>36</v>
      </c>
      <c r="G235" s="6">
        <v>5.8074312476000003</v>
      </c>
      <c r="H235" s="6">
        <v>7.4000000000000004</v>
      </c>
      <c r="I235" s="1">
        <v>28253.707854167598</v>
      </c>
      <c r="J235" s="1">
        <v>17125.552329183902</v>
      </c>
      <c r="K235" s="1">
        <f t="shared" si="5"/>
        <v>11128.155524983697</v>
      </c>
      <c r="L235">
        <v>1</v>
      </c>
    </row>
    <row r="236" hidden="1">
      <c r="A236">
        <v>24</v>
      </c>
      <c r="B236" t="s">
        <v>272</v>
      </c>
      <c r="C236">
        <v>2015</v>
      </c>
      <c r="D236" s="1">
        <v>15510.31503</v>
      </c>
      <c r="E236" s="2" t="s">
        <v>276</v>
      </c>
      <c r="F236" s="5">
        <v>37</v>
      </c>
      <c r="G236" s="6">
        <v>5.5258109604000003</v>
      </c>
      <c r="H236" s="6">
        <v>7.2000000000000002</v>
      </c>
      <c r="L236">
        <v>1</v>
      </c>
    </row>
    <row r="237" hidden="1">
      <c r="A237">
        <v>24</v>
      </c>
      <c r="B237" t="s">
        <v>272</v>
      </c>
      <c r="C237">
        <v>2014</v>
      </c>
      <c r="D237" s="1">
        <v>15019.29916</v>
      </c>
      <c r="E237" s="2" t="s">
        <v>277</v>
      </c>
      <c r="F237" s="5">
        <v>37</v>
      </c>
      <c r="G237" s="6">
        <v>5.2798611017999999</v>
      </c>
      <c r="H237" s="6">
        <v>7.0906200000000004</v>
      </c>
      <c r="L237">
        <v>1</v>
      </c>
    </row>
    <row r="238" hidden="1">
      <c r="A238">
        <v>24</v>
      </c>
      <c r="B238" t="s">
        <v>272</v>
      </c>
      <c r="C238">
        <v>2013</v>
      </c>
      <c r="D238" s="1">
        <v>14633.734560000001</v>
      </c>
      <c r="E238" s="2" t="s">
        <v>278</v>
      </c>
      <c r="F238" s="5">
        <v>37</v>
      </c>
      <c r="G238" s="6">
        <v>5.2470559123999996</v>
      </c>
      <c r="H238" s="6">
        <v>7.25162</v>
      </c>
      <c r="L238">
        <v>1</v>
      </c>
    </row>
    <row r="239" hidden="1">
      <c r="A239">
        <v>24</v>
      </c>
      <c r="B239" t="s">
        <v>272</v>
      </c>
      <c r="C239">
        <v>2012</v>
      </c>
      <c r="D239" s="1">
        <v>14435.48209</v>
      </c>
      <c r="E239" s="2" t="s">
        <v>279</v>
      </c>
      <c r="F239" s="5">
        <v>53</v>
      </c>
      <c r="G239" s="6">
        <v>4.7300000000000004</v>
      </c>
      <c r="H239" s="6">
        <v>7.0093500000000004</v>
      </c>
      <c r="L239">
        <v>1</v>
      </c>
    </row>
    <row r="240" hidden="1">
      <c r="A240">
        <v>24</v>
      </c>
      <c r="B240" t="s">
        <v>272</v>
      </c>
      <c r="C240">
        <v>2011</v>
      </c>
      <c r="D240" s="1">
        <v>13938.81158</v>
      </c>
      <c r="E240" s="2" t="s">
        <v>280</v>
      </c>
      <c r="F240" s="5">
        <v>53</v>
      </c>
      <c r="G240" s="6">
        <v>4.7486887046764226</v>
      </c>
      <c r="H240" s="6">
        <v>6.7000000000000002</v>
      </c>
      <c r="L240">
        <v>1</v>
      </c>
    </row>
    <row r="241" hidden="1">
      <c r="A241">
        <v>24</v>
      </c>
      <c r="B241" t="s">
        <v>272</v>
      </c>
      <c r="C241">
        <v>2010</v>
      </c>
      <c r="D241" s="1">
        <v>12892.094800000001</v>
      </c>
      <c r="E241" s="2" t="s">
        <v>281</v>
      </c>
      <c r="F241" s="5">
        <v>53</v>
      </c>
      <c r="G241" s="6">
        <v>6.1907386370027107</v>
      </c>
      <c r="H241" s="6">
        <v>6.5</v>
      </c>
      <c r="L241">
        <v>1</v>
      </c>
    </row>
    <row r="242">
      <c r="A242">
        <v>24</v>
      </c>
      <c r="B242" t="s">
        <v>272</v>
      </c>
      <c r="C242">
        <v>2009</v>
      </c>
      <c r="D242" s="1">
        <v>12493.887000000001</v>
      </c>
      <c r="E242" s="2" t="s">
        <v>282</v>
      </c>
      <c r="F242" s="5">
        <v>53</v>
      </c>
      <c r="G242" s="6">
        <v>5.7956652758460825</v>
      </c>
      <c r="H242" s="6">
        <v>6.5999999999999996</v>
      </c>
      <c r="L242">
        <v>1</v>
      </c>
    </row>
    <row r="243" hidden="1">
      <c r="A243">
        <v>25</v>
      </c>
      <c r="B243" t="s">
        <v>283</v>
      </c>
      <c r="C243">
        <v>2018</v>
      </c>
      <c r="E243" s="2" t="s">
        <v>284</v>
      </c>
      <c r="F243" s="5">
        <v>45</v>
      </c>
      <c r="G243" s="6">
        <v>4.5</v>
      </c>
      <c r="H243" s="6">
        <v>5.9440999999999997</v>
      </c>
      <c r="I243" s="1">
        <v>34281.956512912402</v>
      </c>
      <c r="J243" s="1">
        <v>27429.684562094397</v>
      </c>
      <c r="K243" s="1">
        <f t="shared" si="5"/>
        <v>6852.2719508180053</v>
      </c>
      <c r="L243">
        <v>0</v>
      </c>
    </row>
    <row r="244" hidden="1">
      <c r="A244">
        <v>25</v>
      </c>
      <c r="B244" t="s">
        <v>283</v>
      </c>
      <c r="C244">
        <v>2017</v>
      </c>
      <c r="D244" s="1">
        <v>49467.25346</v>
      </c>
      <c r="E244" s="2" t="s">
        <v>285</v>
      </c>
      <c r="F244" s="5">
        <v>45</v>
      </c>
      <c r="G244" s="6">
        <v>5.2800000000000002</v>
      </c>
      <c r="H244" s="6">
        <v>5.9450000000000003</v>
      </c>
      <c r="I244" s="1">
        <v>33836.136280969702</v>
      </c>
      <c r="J244" s="1">
        <v>28451.047938786702</v>
      </c>
      <c r="K244" s="1">
        <f t="shared" si="5"/>
        <v>5385.0883421830003</v>
      </c>
      <c r="L244">
        <v>0</v>
      </c>
    </row>
    <row r="245" hidden="1">
      <c r="A245">
        <v>25</v>
      </c>
      <c r="B245" t="s">
        <v>283</v>
      </c>
      <c r="C245">
        <v>2016</v>
      </c>
      <c r="D245" s="1">
        <v>47991.708859999999</v>
      </c>
      <c r="E245" s="2" t="s">
        <v>286</v>
      </c>
      <c r="F245" s="5">
        <v>45</v>
      </c>
      <c r="G245" s="6">
        <v>5.5280318043000003</v>
      </c>
      <c r="H245" s="6">
        <v>5.7000000000000002</v>
      </c>
      <c r="I245" s="1">
        <v>36139.833048389606</v>
      </c>
      <c r="J245" s="1">
        <v>30770.911744137102</v>
      </c>
      <c r="K245" s="1">
        <f t="shared" si="5"/>
        <v>5368.9213042525043</v>
      </c>
      <c r="L245">
        <v>0</v>
      </c>
    </row>
    <row r="246" hidden="1">
      <c r="A246">
        <v>25</v>
      </c>
      <c r="B246" t="s">
        <v>283</v>
      </c>
      <c r="C246">
        <v>2015</v>
      </c>
      <c r="D246" s="1">
        <v>47476.651230000003</v>
      </c>
      <c r="E246" s="2" t="s">
        <v>287</v>
      </c>
      <c r="F246" s="5">
        <v>45</v>
      </c>
      <c r="G246" s="6">
        <v>5.5517460400000003</v>
      </c>
      <c r="H246" s="6">
        <v>5.5</v>
      </c>
      <c r="L246">
        <v>0</v>
      </c>
    </row>
    <row r="247" hidden="1">
      <c r="A247">
        <v>25</v>
      </c>
      <c r="B247" t="s">
        <v>283</v>
      </c>
      <c r="C247">
        <v>2014</v>
      </c>
      <c r="D247" s="1">
        <v>48086.161469999999</v>
      </c>
      <c r="E247" s="2" t="s">
        <v>288</v>
      </c>
      <c r="F247" s="5">
        <v>45</v>
      </c>
      <c r="G247" s="6">
        <v>5.4658179112000003</v>
      </c>
      <c r="H247" s="6">
        <v>5.3901199999999996</v>
      </c>
      <c r="L247">
        <v>0</v>
      </c>
    </row>
    <row r="248" hidden="1">
      <c r="A248">
        <v>25</v>
      </c>
      <c r="B248" t="s">
        <v>283</v>
      </c>
      <c r="C248">
        <v>2013</v>
      </c>
      <c r="D248" s="1">
        <v>47626.023459999997</v>
      </c>
      <c r="E248" s="2" t="s">
        <v>289</v>
      </c>
      <c r="F248" s="5">
        <v>45</v>
      </c>
      <c r="G248" s="6">
        <v>5.4599612789999998</v>
      </c>
      <c r="H248" s="6">
        <v>5.4128600000000002</v>
      </c>
      <c r="L248">
        <v>0</v>
      </c>
    </row>
    <row r="249" hidden="1">
      <c r="A249">
        <v>25</v>
      </c>
      <c r="B249" t="s">
        <v>283</v>
      </c>
      <c r="C249">
        <v>2012</v>
      </c>
      <c r="D249" s="1">
        <v>47060.398000000001</v>
      </c>
      <c r="E249" s="2" t="s">
        <v>290</v>
      </c>
      <c r="F249" s="5">
        <v>45</v>
      </c>
      <c r="G249" s="6">
        <v>4.9699999999999998</v>
      </c>
      <c r="H249" s="6">
        <v>5.33446</v>
      </c>
      <c r="L249">
        <v>0</v>
      </c>
    </row>
    <row r="250" hidden="1">
      <c r="A250">
        <v>25</v>
      </c>
      <c r="B250" t="s">
        <v>283</v>
      </c>
      <c r="C250">
        <v>2011</v>
      </c>
      <c r="D250" s="1">
        <v>47085.343269999998</v>
      </c>
      <c r="E250" s="2" t="s">
        <v>291</v>
      </c>
      <c r="F250" s="5">
        <v>45</v>
      </c>
      <c r="G250" s="6">
        <v>5.6115261821707074</v>
      </c>
      <c r="H250" s="6">
        <v>4</v>
      </c>
      <c r="L250">
        <v>0</v>
      </c>
    </row>
    <row r="251" hidden="1">
      <c r="A251">
        <v>25</v>
      </c>
      <c r="B251" t="s">
        <v>283</v>
      </c>
      <c r="C251">
        <v>2010</v>
      </c>
      <c r="D251" s="1">
        <v>47078.984570000001</v>
      </c>
      <c r="E251" s="2" t="s">
        <v>292</v>
      </c>
      <c r="F251" s="5">
        <v>45</v>
      </c>
      <c r="G251" s="6">
        <v>6.6120677646149071</v>
      </c>
      <c r="H251" s="6">
        <v>3.7000000000000002</v>
      </c>
      <c r="L251">
        <v>0</v>
      </c>
    </row>
    <row r="252">
      <c r="A252">
        <v>25</v>
      </c>
      <c r="B252" t="s">
        <v>283</v>
      </c>
      <c r="C252">
        <v>2009</v>
      </c>
      <c r="D252" s="1">
        <v>45413.493179999998</v>
      </c>
      <c r="E252" s="2" t="s">
        <v>293</v>
      </c>
      <c r="F252" s="5">
        <v>45</v>
      </c>
      <c r="G252" s="6">
        <v>6.750247492953064</v>
      </c>
      <c r="H252" s="6">
        <v>3.7000000000000002</v>
      </c>
      <c r="L252">
        <v>0</v>
      </c>
    </row>
    <row r="253" hidden="1">
      <c r="A253">
        <v>26</v>
      </c>
      <c r="B253" t="s">
        <v>294</v>
      </c>
      <c r="C253">
        <v>2018</v>
      </c>
      <c r="E253" s="2" t="s">
        <v>295</v>
      </c>
      <c r="F253" s="5">
        <v>55</v>
      </c>
      <c r="G253" s="6">
        <v>3.7000000000000002</v>
      </c>
      <c r="H253" s="6">
        <v>3.2951000000000001</v>
      </c>
      <c r="I253" s="1">
        <v>2545.8469892849698</v>
      </c>
      <c r="J253" s="1">
        <v>1984.33172857559</v>
      </c>
      <c r="K253" s="1">
        <f t="shared" si="5"/>
        <v>561.51526070937985</v>
      </c>
      <c r="L253">
        <v>0</v>
      </c>
    </row>
    <row r="254" hidden="1">
      <c r="A254">
        <v>26</v>
      </c>
      <c r="B254" t="s">
        <v>294</v>
      </c>
      <c r="C254">
        <v>2017</v>
      </c>
      <c r="D254" s="1">
        <v>4629.2601299999997</v>
      </c>
      <c r="E254" s="2" t="s">
        <v>296</v>
      </c>
      <c r="F254" s="5">
        <v>57</v>
      </c>
      <c r="G254" s="6">
        <v>4.6100000000000003</v>
      </c>
      <c r="H254" s="6">
        <v>3.214</v>
      </c>
      <c r="I254" s="1">
        <v>2615.6034980380996</v>
      </c>
      <c r="J254" s="1">
        <v>1574.4967680436498</v>
      </c>
      <c r="K254" s="1">
        <f t="shared" si="5"/>
        <v>1041.1067299944498</v>
      </c>
      <c r="L254">
        <v>0</v>
      </c>
    </row>
    <row r="255" hidden="1">
      <c r="A255">
        <v>26</v>
      </c>
      <c r="B255" t="s">
        <v>294</v>
      </c>
      <c r="C255">
        <v>2016</v>
      </c>
      <c r="D255" s="1">
        <v>4544.6958199999999</v>
      </c>
      <c r="E255" s="2" t="s">
        <v>297</v>
      </c>
      <c r="F255" s="5">
        <v>57</v>
      </c>
      <c r="G255" s="6">
        <v>4.6192109457999999</v>
      </c>
      <c r="H255" s="6">
        <v>3</v>
      </c>
      <c r="I255" s="1">
        <v>2306.8091961886203</v>
      </c>
      <c r="J255" s="1">
        <v>1253.69249086846</v>
      </c>
      <c r="K255" s="1">
        <f t="shared" si="5"/>
        <v>1053.1167053201602</v>
      </c>
      <c r="L255">
        <v>0</v>
      </c>
    </row>
    <row r="256" hidden="1">
      <c r="A256">
        <v>26</v>
      </c>
      <c r="B256" t="s">
        <v>294</v>
      </c>
      <c r="C256">
        <v>2015</v>
      </c>
      <c r="D256" s="1">
        <v>4584.11006</v>
      </c>
      <c r="E256" s="2" t="s">
        <v>298</v>
      </c>
      <c r="F256" s="5">
        <v>57</v>
      </c>
      <c r="G256" s="6">
        <v>4.1636535450999999</v>
      </c>
      <c r="H256" s="6">
        <v>2.7999999999999998</v>
      </c>
      <c r="L256">
        <v>0</v>
      </c>
    </row>
    <row r="257" hidden="1">
      <c r="A257">
        <v>26</v>
      </c>
      <c r="B257" t="s">
        <v>294</v>
      </c>
      <c r="C257">
        <v>2014</v>
      </c>
      <c r="D257" s="1">
        <v>4684.47444</v>
      </c>
      <c r="E257" s="2" t="s">
        <v>299</v>
      </c>
      <c r="F257" s="5">
        <v>57</v>
      </c>
      <c r="G257" s="6">
        <v>3.7602068933999999</v>
      </c>
      <c r="H257" s="6">
        <v>2.5899800000000002</v>
      </c>
      <c r="L257">
        <v>0</v>
      </c>
    </row>
    <row r="258" hidden="1">
      <c r="A258">
        <v>26</v>
      </c>
      <c r="B258" t="s">
        <v>294</v>
      </c>
      <c r="C258">
        <v>2013</v>
      </c>
      <c r="D258" s="1">
        <v>4554.5941999999995</v>
      </c>
      <c r="E258" s="2" t="s">
        <v>300</v>
      </c>
      <c r="F258" s="5">
        <v>57</v>
      </c>
      <c r="G258" s="6">
        <v>3.7931243925999998</v>
      </c>
      <c r="H258" s="6">
        <v>2.5570200000000001</v>
      </c>
      <c r="L258">
        <v>0</v>
      </c>
    </row>
    <row r="259" hidden="1">
      <c r="A259">
        <v>26</v>
      </c>
      <c r="B259" t="s">
        <v>294</v>
      </c>
      <c r="C259">
        <v>2012</v>
      </c>
      <c r="D259" s="1">
        <v>4367.0772699999998</v>
      </c>
      <c r="E259" s="2" t="s">
        <v>301</v>
      </c>
      <c r="F259" s="5">
        <v>64</v>
      </c>
      <c r="G259" s="6">
        <v>3.21</v>
      </c>
      <c r="H259" s="6">
        <v>2.3333599999999999</v>
      </c>
      <c r="L259">
        <v>0</v>
      </c>
    </row>
    <row r="260" hidden="1">
      <c r="A260">
        <v>26</v>
      </c>
      <c r="B260" t="s">
        <v>294</v>
      </c>
      <c r="C260">
        <v>2011</v>
      </c>
      <c r="D260" s="1">
        <v>4282.6889600000004</v>
      </c>
      <c r="E260" s="2" t="s">
        <v>302</v>
      </c>
      <c r="F260" s="5">
        <v>64</v>
      </c>
      <c r="G260" s="6">
        <v>3.3730937429917023</v>
      </c>
      <c r="H260" s="6">
        <v>2.2000000000000002</v>
      </c>
      <c r="L260">
        <v>0</v>
      </c>
    </row>
    <row r="261" hidden="1">
      <c r="A261">
        <v>26</v>
      </c>
      <c r="B261" t="s">
        <v>294</v>
      </c>
      <c r="C261">
        <v>2010</v>
      </c>
      <c r="D261" s="1">
        <v>4137.3834999999999</v>
      </c>
      <c r="E261" s="2" t="s">
        <v>303</v>
      </c>
      <c r="F261" s="5">
        <v>64</v>
      </c>
      <c r="G261" s="6">
        <v>5.13170927711744</v>
      </c>
      <c r="H261" s="6">
        <v>2</v>
      </c>
      <c r="L261">
        <v>0</v>
      </c>
    </row>
    <row r="262">
      <c r="A262">
        <v>26</v>
      </c>
      <c r="B262" t="s">
        <v>294</v>
      </c>
      <c r="C262">
        <v>2009</v>
      </c>
      <c r="D262" s="1">
        <v>4007.1117800000002</v>
      </c>
      <c r="E262" s="2" t="s">
        <v>304</v>
      </c>
      <c r="F262" s="5">
        <v>64</v>
      </c>
      <c r="G262" s="6">
        <v>5.2261953531924856</v>
      </c>
      <c r="H262" s="6">
        <v>1.8999999999999999</v>
      </c>
      <c r="L262">
        <v>0</v>
      </c>
    </row>
    <row r="263" hidden="1">
      <c r="B263" t="s">
        <v>305</v>
      </c>
      <c r="C263">
        <v>2018</v>
      </c>
      <c r="E263" s="2" t="s">
        <v>306</v>
      </c>
      <c r="F263" s="5">
        <v>2222</v>
      </c>
      <c r="G263" s="6">
        <v>2.6000000000000001</v>
      </c>
      <c r="H263" s="6">
        <v>3.2000000000000002</v>
      </c>
      <c r="I263" s="1">
        <v>296575.61766599561</v>
      </c>
      <c r="J263" s="1">
        <v>264640.0093469866</v>
      </c>
      <c r="K263" s="1">
        <f t="shared" si="5"/>
        <v>31935.608319009014</v>
      </c>
    </row>
    <row r="264" hidden="1">
      <c r="B264" t="s">
        <v>305</v>
      </c>
      <c r="C264">
        <v>2017</v>
      </c>
      <c r="D264" s="1">
        <v>669541.57336000004</v>
      </c>
      <c r="E264" s="2" t="s">
        <v>307</v>
      </c>
      <c r="F264" s="5">
        <v>2255</v>
      </c>
      <c r="G264" s="6">
        <v>3.1899999999999999</v>
      </c>
      <c r="H264" s="6">
        <v>3.2999999999999998</v>
      </c>
      <c r="I264" s="1">
        <v>287666.13822699391</v>
      </c>
      <c r="J264" s="1">
        <v>258555.03980600683</v>
      </c>
      <c r="K264" s="1">
        <f t="shared" si="5"/>
        <v>29111.09842098708</v>
      </c>
    </row>
    <row r="265" hidden="1">
      <c r="B265" t="s">
        <v>305</v>
      </c>
      <c r="C265">
        <v>2016</v>
      </c>
      <c r="D265" s="1">
        <v>661504.31481999997</v>
      </c>
      <c r="E265" s="2" t="s">
        <v>308</v>
      </c>
      <c r="F265" s="5">
        <v>2294</v>
      </c>
      <c r="G265" s="6">
        <v>3.3231411519999998</v>
      </c>
      <c r="H265" s="6">
        <v>3.2999999999999998</v>
      </c>
      <c r="I265" s="1">
        <v>292795.4013599999</v>
      </c>
      <c r="J265" s="1">
        <v>259424.44464426578</v>
      </c>
      <c r="K265" s="1">
        <f t="shared" si="5"/>
        <v>33370.956715734123</v>
      </c>
    </row>
    <row r="266" hidden="1">
      <c r="B266" t="s">
        <v>305</v>
      </c>
      <c r="C266">
        <v>2015</v>
      </c>
      <c r="D266" s="1">
        <v>654257.90371999994</v>
      </c>
      <c r="E266" s="2" t="s">
        <v>309</v>
      </c>
      <c r="F266" s="5">
        <v>2324</v>
      </c>
      <c r="G266" s="6">
        <v>3.3035608137999999</v>
      </c>
      <c r="H266" s="6">
        <v>3.2000000000000002</v>
      </c>
    </row>
    <row r="267" hidden="1">
      <c r="B267" t="s">
        <v>305</v>
      </c>
      <c r="C267">
        <v>2014</v>
      </c>
      <c r="D267" s="1">
        <v>649718.34496999998</v>
      </c>
      <c r="E267" s="2" t="s">
        <v>310</v>
      </c>
      <c r="F267" s="5">
        <v>2352</v>
      </c>
      <c r="G267" s="6">
        <v>3.1637048068000002</v>
      </c>
      <c r="H267" s="6">
        <v>3.2000000000000002</v>
      </c>
    </row>
    <row r="268" hidden="1">
      <c r="B268" t="s">
        <v>305</v>
      </c>
      <c r="C268">
        <v>2013</v>
      </c>
      <c r="D268" s="1">
        <v>638176.96097000001</v>
      </c>
      <c r="E268" s="2" t="s">
        <v>311</v>
      </c>
      <c r="F268" s="5">
        <v>2408</v>
      </c>
      <c r="G268" s="6">
        <v>3.1581584488000001</v>
      </c>
      <c r="H268" s="6">
        <v>3.2000000000000002</v>
      </c>
    </row>
    <row r="269" hidden="1">
      <c r="B269" t="s">
        <v>305</v>
      </c>
      <c r="C269">
        <v>2012</v>
      </c>
      <c r="D269" s="1">
        <v>626414.12945000001</v>
      </c>
      <c r="E269" s="2" t="s">
        <v>312</v>
      </c>
      <c r="F269" s="5">
        <v>2495</v>
      </c>
      <c r="G269" s="6">
        <v>2.9100000000000001</v>
      </c>
      <c r="H269" s="6">
        <v>3.1469999999999998</v>
      </c>
    </row>
    <row r="270" hidden="1">
      <c r="B270" t="s">
        <v>305</v>
      </c>
      <c r="C270">
        <v>2011</v>
      </c>
      <c r="D270" s="1">
        <v>621256.12120000005</v>
      </c>
      <c r="E270" s="2" t="s">
        <v>313</v>
      </c>
      <c r="F270" s="5">
        <v>2551</v>
      </c>
      <c r="G270" s="6">
        <v>2.8428145094298989</v>
      </c>
      <c r="H270" s="6">
        <v>3</v>
      </c>
    </row>
    <row r="271" hidden="1">
      <c r="B271" t="s">
        <v>305</v>
      </c>
      <c r="C271">
        <v>2010</v>
      </c>
      <c r="D271" s="1">
        <v>608830.56353000004</v>
      </c>
      <c r="E271" s="2" t="s">
        <v>314</v>
      </c>
      <c r="F271" s="5">
        <v>2596</v>
      </c>
      <c r="G271" s="6">
        <v>3.515833163501314</v>
      </c>
      <c r="H271" s="6">
        <v>3</v>
      </c>
    </row>
    <row r="272">
      <c r="B272" t="s">
        <v>305</v>
      </c>
      <c r="C272">
        <v>2009</v>
      </c>
      <c r="D272" s="1">
        <v>589213.22309999994</v>
      </c>
      <c r="E272" s="2" t="s">
        <v>315</v>
      </c>
      <c r="F272" s="5">
        <v>2636</v>
      </c>
      <c r="G272" s="6">
        <v>3.7012759265208475</v>
      </c>
      <c r="H272" s="6">
        <v>3</v>
      </c>
    </row>
  </sheetData>
  <autoFilter ref="A1:L272">
    <filterColumn colId="2">
      <filters>
        <filter val="2009"/>
      </filters>
    </filterColumn>
  </autoFilter>
  <sortState ref="A3:K272">
    <sortCondition ref="A3:A272"/>
    <sortCondition descending="1" ref="C3:C272"/>
  </sortState>
  <printOptions headings="0" gridLines="0"/>
  <pageMargins left="0.69999999999999996" right="0.69999999999999996" top="0.78740157500000008" bottom="0.78740157500000008" header="0.29999999999999999" footer="0.29999999999999999"/>
  <pageSetup blackAndWhite="0" cellComments="none" copies="1" draft="0" errors="displayed" firstPageNumber="-1" fitToHeight="1" fitToWidth="1" horizontalDpi="-./,),(-*,(" orientation="portrait" pageOrder="downThenOver" paperSize="9" scale="100" useFirstPageNumber="0" usePrinterDefaults="1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6" activeCellId="0" sqref="A6"/>
    </sheetView>
  </sheetViews>
  <sheetFormatPr baseColWidth="10" defaultColWidth="11.42578125" defaultRowHeight="14.25"/>
  <sheetData>
    <row r="1">
      <c r="A1" t="s">
        <v>316</v>
      </c>
    </row>
    <row r="3">
      <c r="A3" t="s">
        <v>317</v>
      </c>
    </row>
    <row r="4">
      <c r="A4" t="s">
        <v>318</v>
      </c>
    </row>
    <row r="5">
      <c r="A5" t="s">
        <v>319</v>
      </c>
    </row>
    <row r="6">
      <c r="A6" t="s">
        <v>320</v>
      </c>
    </row>
    <row r="7">
      <c r="A7" t="s">
        <v>321</v>
      </c>
    </row>
    <row r="8">
      <c r="A8" t="s">
        <v>322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G15" activeCellId="0" sqref="G15"/>
    </sheetView>
  </sheetViews>
  <sheetFormatPr baseColWidth="10" defaultColWidth="11.42578125" defaultRowHeight="14.25"/>
  <cols>
    <col bestFit="1" customWidth="1" min="2" max="2" width="16"/>
    <col bestFit="1" customWidth="1" min="3" max="4" width="13"/>
    <col bestFit="1" customWidth="1" min="5" max="5" width="14"/>
    <col bestFit="1" customWidth="1" min="6" max="6" width="15"/>
    <col bestFit="1" customWidth="1" min="8" max="9" width="15.85546875"/>
  </cols>
  <sheetData>
    <row r="1" s="4" customFormat="1" ht="28.5">
      <c r="A1" s="4" t="s">
        <v>323</v>
      </c>
      <c r="B1" s="4" t="s">
        <v>1</v>
      </c>
      <c r="C1" s="4" t="s">
        <v>324</v>
      </c>
      <c r="D1" s="4" t="s">
        <v>325</v>
      </c>
      <c r="E1" s="4" t="s">
        <v>326</v>
      </c>
      <c r="F1" s="4" t="s">
        <v>11</v>
      </c>
    </row>
    <row r="2">
      <c r="A2">
        <v>1</v>
      </c>
      <c r="B2" t="s">
        <v>19</v>
      </c>
      <c r="C2">
        <v>2017</v>
      </c>
      <c r="D2" s="1">
        <v>143044.38373999999</v>
      </c>
      <c r="E2" s="1">
        <f t="shared" ref="E2:E27" si="6">D2/$D$28*100</f>
        <v>21.3645260326632</v>
      </c>
      <c r="F2">
        <v>1</v>
      </c>
    </row>
    <row r="3">
      <c r="A3">
        <v>2</v>
      </c>
      <c r="B3" t="s">
        <v>30</v>
      </c>
      <c r="C3">
        <v>2017</v>
      </c>
      <c r="D3" s="1">
        <v>78277.652979999999</v>
      </c>
      <c r="E3" s="1">
        <f t="shared" si="6"/>
        <v>11.691231148974756</v>
      </c>
      <c r="F3">
        <v>1</v>
      </c>
    </row>
    <row r="4">
      <c r="A4">
        <v>22</v>
      </c>
      <c r="B4" t="s">
        <v>250</v>
      </c>
      <c r="C4">
        <v>2017</v>
      </c>
      <c r="D4" s="1">
        <v>53730.906990000003</v>
      </c>
      <c r="E4" s="1">
        <f t="shared" si="6"/>
        <v>8.0250292331152817</v>
      </c>
      <c r="F4">
        <v>1</v>
      </c>
    </row>
    <row r="5">
      <c r="A5">
        <v>25</v>
      </c>
      <c r="B5" t="s">
        <v>283</v>
      </c>
      <c r="C5">
        <v>2017</v>
      </c>
      <c r="D5" s="1">
        <v>49467.25346</v>
      </c>
      <c r="E5" s="1">
        <f t="shared" si="6"/>
        <v>7.388227322727035</v>
      </c>
      <c r="F5" s="7">
        <v>0</v>
      </c>
      <c r="G5" t="s">
        <v>327</v>
      </c>
    </row>
    <row r="6">
      <c r="A6">
        <v>19</v>
      </c>
      <c r="B6" t="s">
        <v>217</v>
      </c>
      <c r="C6">
        <v>2017</v>
      </c>
      <c r="D6" s="1">
        <v>41592.478170000002</v>
      </c>
      <c r="E6" s="1">
        <f t="shared" si="6"/>
        <v>6.2120829870614322</v>
      </c>
      <c r="F6">
        <v>1</v>
      </c>
    </row>
    <row r="7">
      <c r="A7">
        <v>17</v>
      </c>
      <c r="B7" t="s">
        <v>195</v>
      </c>
      <c r="C7">
        <v>2017</v>
      </c>
      <c r="D7" s="1">
        <v>36793.737630000003</v>
      </c>
      <c r="E7" s="1">
        <f t="shared" si="6"/>
        <v>5.495362662150435</v>
      </c>
      <c r="F7">
        <v>1</v>
      </c>
    </row>
    <row r="8">
      <c r="A8">
        <v>12</v>
      </c>
      <c r="B8" t="s">
        <v>140</v>
      </c>
      <c r="C8">
        <v>2017</v>
      </c>
      <c r="D8" s="1">
        <v>35955.303760000003</v>
      </c>
      <c r="E8" s="1">
        <f t="shared" si="6"/>
        <v>5.3701375972164627</v>
      </c>
      <c r="F8" s="7">
        <v>0</v>
      </c>
      <c r="G8" t="s">
        <v>328</v>
      </c>
    </row>
    <row r="9">
      <c r="A9">
        <v>21</v>
      </c>
      <c r="B9" t="s">
        <v>239</v>
      </c>
      <c r="C9">
        <v>2017</v>
      </c>
      <c r="D9" s="1">
        <v>28511.826260000002</v>
      </c>
      <c r="E9" s="1">
        <f t="shared" si="6"/>
        <v>4.2584101412728437</v>
      </c>
      <c r="F9">
        <v>1</v>
      </c>
    </row>
    <row r="10">
      <c r="A10">
        <v>3</v>
      </c>
      <c r="B10" t="s">
        <v>41</v>
      </c>
      <c r="C10">
        <v>2017</v>
      </c>
      <c r="D10" s="1">
        <v>26992.139220000001</v>
      </c>
      <c r="E10" s="1">
        <f t="shared" si="6"/>
        <v>4.0314358800072343</v>
      </c>
      <c r="F10">
        <v>1</v>
      </c>
    </row>
    <row r="11">
      <c r="A11">
        <v>13</v>
      </c>
      <c r="B11" t="s">
        <v>151</v>
      </c>
      <c r="C11">
        <v>2017</v>
      </c>
      <c r="D11" s="1">
        <v>20347.489430000001</v>
      </c>
      <c r="E11" s="1">
        <f t="shared" si="6"/>
        <v>3.0390180743951407</v>
      </c>
      <c r="F11">
        <v>1</v>
      </c>
    </row>
    <row r="12">
      <c r="A12">
        <v>9</v>
      </c>
      <c r="B12" t="s">
        <v>107</v>
      </c>
      <c r="C12">
        <v>2017</v>
      </c>
      <c r="D12" s="1">
        <v>18920.53485</v>
      </c>
      <c r="E12" s="1">
        <f t="shared" si="6"/>
        <v>2.8258939553297582</v>
      </c>
      <c r="F12">
        <v>1</v>
      </c>
    </row>
    <row r="13">
      <c r="A13">
        <v>10</v>
      </c>
      <c r="B13" t="s">
        <v>118</v>
      </c>
      <c r="C13">
        <v>2017</v>
      </c>
      <c r="D13" s="1">
        <v>18635.281620000002</v>
      </c>
      <c r="E13" s="1">
        <f t="shared" si="6"/>
        <v>2.7832896957363626</v>
      </c>
      <c r="F13">
        <v>1</v>
      </c>
    </row>
    <row r="14">
      <c r="A14">
        <v>23</v>
      </c>
      <c r="B14" t="s">
        <v>261</v>
      </c>
      <c r="C14">
        <v>2017</v>
      </c>
      <c r="D14" s="1">
        <v>18405.369299999998</v>
      </c>
      <c r="E14" s="1">
        <f t="shared" si="6"/>
        <v>2.7489509288624521</v>
      </c>
      <c r="F14" s="7">
        <v>0</v>
      </c>
      <c r="G14" t="s">
        <v>329</v>
      </c>
    </row>
    <row r="15">
      <c r="A15">
        <v>11</v>
      </c>
      <c r="B15" t="s">
        <v>129</v>
      </c>
      <c r="C15">
        <v>2017</v>
      </c>
      <c r="D15" s="1">
        <v>17702.481919999998</v>
      </c>
      <c r="E15" s="1">
        <f t="shared" si="6"/>
        <v>2.6439705351174219</v>
      </c>
      <c r="F15">
        <v>1</v>
      </c>
    </row>
    <row r="16">
      <c r="A16">
        <v>20</v>
      </c>
      <c r="B16" t="s">
        <v>228</v>
      </c>
      <c r="C16">
        <v>2017</v>
      </c>
      <c r="D16" s="1">
        <v>16374.21017</v>
      </c>
      <c r="E16" s="1">
        <f t="shared" si="6"/>
        <v>2.4455852812586878</v>
      </c>
      <c r="F16">
        <v>1</v>
      </c>
    </row>
    <row r="17">
      <c r="A17">
        <v>24</v>
      </c>
      <c r="B17" t="s">
        <v>272</v>
      </c>
      <c r="C17">
        <v>2017</v>
      </c>
      <c r="D17" s="1">
        <v>15434.912700000001</v>
      </c>
      <c r="E17" s="1">
        <f t="shared" si="6"/>
        <v>2.3052956402008116</v>
      </c>
      <c r="F17">
        <v>1</v>
      </c>
    </row>
    <row r="18">
      <c r="A18">
        <v>18</v>
      </c>
      <c r="B18" t="s">
        <v>206</v>
      </c>
      <c r="C18">
        <v>2017</v>
      </c>
      <c r="D18" s="1">
        <v>14020.11491</v>
      </c>
      <c r="E18" s="1">
        <f t="shared" si="6"/>
        <v>2.0939872097324788</v>
      </c>
      <c r="F18" s="8">
        <v>1</v>
      </c>
    </row>
    <row r="19">
      <c r="A19">
        <v>5</v>
      </c>
      <c r="B19" t="s">
        <v>63</v>
      </c>
      <c r="C19">
        <v>2017</v>
      </c>
      <c r="D19" s="1">
        <v>9443.9290700000001</v>
      </c>
      <c r="E19" s="1">
        <f t="shared" si="6"/>
        <v>1.4105067475656474</v>
      </c>
      <c r="F19">
        <v>1</v>
      </c>
    </row>
    <row r="20">
      <c r="A20">
        <v>14</v>
      </c>
      <c r="B20" t="s">
        <v>162</v>
      </c>
      <c r="C20">
        <v>2017</v>
      </c>
      <c r="D20" s="1">
        <v>6962.6756999999998</v>
      </c>
      <c r="E20" s="1">
        <f t="shared" si="6"/>
        <v>1.0399168590919297</v>
      </c>
      <c r="F20">
        <v>1</v>
      </c>
    </row>
    <row r="21">
      <c r="A21">
        <v>26</v>
      </c>
      <c r="B21" t="s">
        <v>294</v>
      </c>
      <c r="C21">
        <v>2017</v>
      </c>
      <c r="D21" s="1">
        <v>4629.2601299999997</v>
      </c>
      <c r="E21" s="1">
        <f t="shared" si="6"/>
        <v>0.69140742176302961</v>
      </c>
      <c r="F21">
        <v>0</v>
      </c>
      <c r="G21" t="s">
        <v>330</v>
      </c>
    </row>
    <row r="22">
      <c r="A22">
        <v>15</v>
      </c>
      <c r="B22" t="s">
        <v>173</v>
      </c>
      <c r="C22">
        <v>2017</v>
      </c>
      <c r="D22" s="1">
        <v>3085.8009699999998</v>
      </c>
      <c r="E22" s="1">
        <f t="shared" si="6"/>
        <v>0.46088265356165153</v>
      </c>
      <c r="F22">
        <v>1</v>
      </c>
    </row>
    <row r="23">
      <c r="A23">
        <v>7</v>
      </c>
      <c r="B23" t="s">
        <v>85</v>
      </c>
      <c r="C23">
        <v>2017</v>
      </c>
      <c r="D23" s="1">
        <v>3050.2255100000002</v>
      </c>
      <c r="E23" s="1">
        <f t="shared" si="6"/>
        <v>0.45556924787998948</v>
      </c>
      <c r="F23">
        <v>1</v>
      </c>
    </row>
    <row r="24">
      <c r="A24">
        <v>8</v>
      </c>
      <c r="B24" t="s">
        <v>96</v>
      </c>
      <c r="C24">
        <v>2017</v>
      </c>
      <c r="D24" s="1">
        <v>2763.85941</v>
      </c>
      <c r="E24" s="1">
        <f t="shared" si="6"/>
        <v>0.41279877456002634</v>
      </c>
      <c r="F24">
        <v>1</v>
      </c>
    </row>
    <row r="25">
      <c r="A25">
        <v>6</v>
      </c>
      <c r="B25" t="s">
        <v>74</v>
      </c>
      <c r="C25">
        <v>2017</v>
      </c>
      <c r="D25" s="1">
        <v>2509.8009099999999</v>
      </c>
      <c r="E25" s="1">
        <f t="shared" si="6"/>
        <v>0.37485363267360944</v>
      </c>
      <c r="F25">
        <v>1</v>
      </c>
    </row>
    <row r="26">
      <c r="A26">
        <v>4</v>
      </c>
      <c r="B26" t="s">
        <v>52</v>
      </c>
      <c r="C26">
        <v>2017</v>
      </c>
      <c r="D26" s="1">
        <v>1900.49342</v>
      </c>
      <c r="E26" s="1">
        <f t="shared" si="6"/>
        <v>0.28384994981904432</v>
      </c>
      <c r="F26">
        <v>1</v>
      </c>
    </row>
    <row r="27">
      <c r="A27">
        <v>16</v>
      </c>
      <c r="B27" t="s">
        <v>184</v>
      </c>
      <c r="C27">
        <v>2017</v>
      </c>
      <c r="D27" s="1">
        <v>989.45111999999995</v>
      </c>
      <c r="E27" s="1">
        <f t="shared" si="6"/>
        <v>0.14778038576971089</v>
      </c>
      <c r="F27">
        <v>0</v>
      </c>
      <c r="G27" t="s">
        <v>331</v>
      </c>
    </row>
    <row r="28" ht="15.4" customHeight="1">
      <c r="B28" t="s">
        <v>305</v>
      </c>
      <c r="C28">
        <v>2017</v>
      </c>
      <c r="D28" s="1">
        <v>669541.57336000004</v>
      </c>
      <c r="E28" s="1"/>
    </row>
    <row r="30">
      <c r="D30" s="4"/>
    </row>
    <row r="31">
      <c r="C31" t="s">
        <v>332</v>
      </c>
      <c r="D31" s="5">
        <f>SUM(D2:D4,D6:D7,D9:D13,D15:D17,D19:D20,D22:D26)</f>
        <v>546074.82066999993</v>
      </c>
      <c r="E31" s="6">
        <f t="shared" ref="E31:E32" si="7">D31/$D$28*100</f>
        <v>81.559509132435267</v>
      </c>
      <c r="F31" t="s">
        <v>333</v>
      </c>
    </row>
    <row r="32">
      <c r="C32" t="s">
        <v>334</v>
      </c>
      <c r="D32" s="5">
        <f>D28-D31</f>
        <v>123466.75269000011</v>
      </c>
      <c r="E32" s="6">
        <f t="shared" si="7"/>
        <v>18.440490867564744</v>
      </c>
      <c r="F32" t="s">
        <v>335</v>
      </c>
    </row>
    <row r="33">
      <c r="D33" s="5"/>
      <c r="E33" s="6"/>
    </row>
    <row r="34">
      <c r="D34" s="5"/>
      <c r="E34" s="6"/>
    </row>
    <row r="35">
      <c r="D35" s="5"/>
      <c r="E35" s="6"/>
    </row>
    <row r="36">
      <c r="D36" s="5"/>
      <c r="E36" s="6"/>
    </row>
    <row r="37">
      <c r="D37" s="5"/>
      <c r="E37" s="6"/>
    </row>
    <row r="38">
      <c r="D38" s="5"/>
      <c r="E38" s="6"/>
    </row>
    <row r="39">
      <c r="D39" s="5"/>
      <c r="E39" s="6"/>
    </row>
    <row r="40">
      <c r="D40" s="5"/>
      <c r="E40" s="6"/>
    </row>
    <row r="41">
      <c r="D41" s="5"/>
      <c r="E41" s="6"/>
    </row>
    <row r="42">
      <c r="D42" s="5"/>
      <c r="E42" s="6"/>
    </row>
    <row r="43">
      <c r="D43" s="5"/>
      <c r="E43" s="6"/>
    </row>
    <row r="44">
      <c r="D44" s="5"/>
      <c r="E44" s="6"/>
    </row>
    <row r="45">
      <c r="D45" s="5"/>
      <c r="E45" s="6"/>
    </row>
    <row r="46">
      <c r="D46" s="5"/>
      <c r="E46" s="6"/>
    </row>
    <row r="47">
      <c r="D47" s="5"/>
      <c r="E47" s="6"/>
    </row>
    <row r="48">
      <c r="D48" s="5"/>
      <c r="E48" s="6"/>
    </row>
    <row r="49">
      <c r="D49" s="5"/>
      <c r="E49" s="6"/>
    </row>
    <row r="50">
      <c r="D50" s="5"/>
      <c r="E50" s="6"/>
    </row>
    <row r="52">
      <c r="D52" s="9"/>
      <c r="E52" s="6"/>
    </row>
    <row r="53">
      <c r="D53" s="9"/>
      <c r="E53" s="6"/>
    </row>
    <row r="58">
      <c r="D58" s="4"/>
    </row>
    <row r="59">
      <c r="D59" s="10"/>
      <c r="E59" s="6"/>
    </row>
    <row r="60">
      <c r="D60" s="10"/>
      <c r="E60" s="6"/>
    </row>
    <row r="61">
      <c r="D61" s="10"/>
      <c r="E61" s="6"/>
    </row>
    <row r="62">
      <c r="D62" s="10"/>
      <c r="E62" s="6"/>
    </row>
    <row r="63">
      <c r="D63" s="10"/>
      <c r="E63" s="6"/>
    </row>
    <row r="64">
      <c r="D64" s="10"/>
      <c r="E64" s="6"/>
    </row>
    <row r="65">
      <c r="D65" s="10"/>
      <c r="E65" s="6"/>
    </row>
    <row r="66">
      <c r="D66" s="10"/>
      <c r="E66" s="6"/>
    </row>
    <row r="67">
      <c r="D67" s="10"/>
      <c r="E67" s="6"/>
    </row>
    <row r="68">
      <c r="D68" s="10"/>
      <c r="E68" s="6"/>
    </row>
    <row r="69">
      <c r="D69" s="10"/>
      <c r="E69" s="6"/>
    </row>
    <row r="70">
      <c r="D70" s="10"/>
      <c r="E70" s="6"/>
    </row>
    <row r="71">
      <c r="D71" s="10"/>
      <c r="E71" s="6"/>
    </row>
    <row r="72">
      <c r="D72" s="10"/>
      <c r="E72" s="6"/>
    </row>
    <row r="73">
      <c r="D73" s="10"/>
      <c r="E73" s="6"/>
    </row>
    <row r="74">
      <c r="D74" s="10"/>
      <c r="E74" s="6"/>
    </row>
    <row r="75">
      <c r="D75" s="10"/>
      <c r="E75" s="6"/>
    </row>
    <row r="76">
      <c r="D76" s="10"/>
      <c r="E76" s="6"/>
    </row>
    <row r="77">
      <c r="D77" s="10"/>
      <c r="E77" s="6"/>
    </row>
    <row r="78">
      <c r="D78" s="10"/>
      <c r="E78" s="6"/>
    </row>
    <row r="80">
      <c r="D80" s="6"/>
      <c r="E80" s="6"/>
    </row>
    <row r="81">
      <c r="D81" s="6"/>
      <c r="E81" s="6"/>
    </row>
  </sheetData>
  <autoFilter ref="A1:F28">
    <sortState ref="A2:F28">
      <sortCondition descending="1" ref="E1:E28"/>
    </sortState>
  </autoFilter>
  <printOptions headings="0" gridLines="0"/>
  <pageMargins left="0.69999999999999996" right="0.69999999999999996" top="0.78740157500000008" bottom="0.78740157500000008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ONLYOFFICE/6.0.0.105</Application>
  <Company/>
  <DocSecurity>0</DocSecurity>
  <HyperlinkBase/>
  <HyperlinksChanged>false</HyperlinksChanged>
  <LinksUpToDate>false</LinksUpToDate>
  <Manager/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Steffen Zetzmann</dc:creator>
  <cp:keywords/>
  <dc:description/>
  <cp:lastModifiedBy>Anonym</cp:lastModifiedBy>
  <cp:revision>1</cp:revision>
  <dcterms:created xsi:type="dcterms:W3CDTF">2020-10-06T13:51:57Z</dcterms:created>
  <dcterms:modified xsi:type="dcterms:W3CDTF">2020-11-02T16:58:12Z</dcterms:modified>
  <cp:category/>
  <cp:contentStatus/>
</cp:coreProperties>
</file>